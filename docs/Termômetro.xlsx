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2026" sheetId="2" r:id="rId5"/>
    <sheet state="visible" name="Economia" sheetId="3" r:id="rId6"/>
    <sheet state="visible" name="Cópia de Patrimônio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Q3">
      <text>
        <t xml:space="preserve">Diarista 1</t>
      </text>
    </comment>
    <comment authorId="0" ref="BR3">
      <text>
        <t xml:space="preserve">Mensal	R$ 1.700,00	Supermercado
Mensal	R$ 700,00	Gasolina
Mensal	R$ 2.000,00	Lanches / Saídas / Compras
Mensal	R$ 250,00	Farmácia
Mensal	R$ 150,00	Ifood</t>
      </text>
    </comment>
    <comment authorId="0" ref="BR4">
      <text>
        <t xml:space="preserve">Mensal	R$ 1.700,00	Supermercado
Mensal	R$ 700,00	Gasolina
Mensal	R$ 2.000,00	Lanches / Saídas / Compras
Mensal	R$ 250,00	Farmácia
Mensal	R$ 150,00	Ifood</t>
      </text>
    </comment>
    <comment authorId="0" ref="BQ7">
      <text>
        <t xml:space="preserve">Financiamento casa + IPTU</t>
      </text>
    </comment>
    <comment authorId="0" ref="BJ12">
      <text>
        <t xml:space="preserve">SALDO INICIAL
</t>
      </text>
    </comment>
    <comment authorId="0" ref="BL12">
      <text>
        <t xml:space="preserve">Mensal	R$ 1.700,00	Supermercado
Mensal	R$ 700,00	Gasolina
Mensal	R$ 2.000,00	Lanches / Saídas / Compras
Mensal	R$ 250,00	Farmácia
Mensal	R$ 150,00	Ifood</t>
      </text>
    </comment>
    <comment authorId="0" ref="BQ12">
      <text>
        <t xml:space="preserve">Escola Arthur + 
Segurança rua +
Água +
TIM
</t>
      </text>
    </comment>
    <comment authorId="0" ref="BL13">
      <text>
        <t xml:space="preserve">Psicóloga Arthur
</t>
      </text>
    </comment>
    <comment authorId="0" ref="BL15">
      <text>
        <t xml:space="preserve">Gasolina+
Pão +
2a quinzena da Lu</t>
      </text>
    </comment>
    <comment authorId="0" ref="BQ17">
      <text>
        <t xml:space="preserve">Diarista 2</t>
      </text>
    </comment>
    <comment authorId="0" ref="BL21">
      <text>
        <t xml:space="preserve">psicóloga Arthur+
Transferencia Lígia+
estacionamento
</t>
      </text>
    </comment>
    <comment authorId="0" ref="BJ23">
      <text>
        <t xml:space="preserve">SALÁRIO+
Venda do freezer
</t>
      </text>
    </comment>
    <comment authorId="0" ref="BK23">
      <text>
        <t xml:space="preserve">Assinaturas no Nubank + Academias no Bradesco</t>
      </text>
    </comment>
    <comment authorId="0" ref="BL23">
      <text>
        <t xml:space="preserve">gasolina+
farmácia+
casa do chocolate+
mercantil viagem+
carnes viagem+
freitas+
corte cabelo+
transf parte lígia do freezer+
queijo
</t>
      </text>
    </comment>
    <comment authorId="0" ref="BK25">
      <text>
        <t xml:space="preserve">R$ 558,49</t>
      </text>
    </comment>
    <comment authorId="0" ref="BQ25">
      <text>
        <t xml:space="preserve">Assinaturas no Nubank + Academias no Bradesco</t>
      </text>
    </comment>
    <comment authorId="0" ref="BJ26">
      <text>
        <t xml:space="preserve">Transf André viagem
</t>
      </text>
    </comment>
    <comment authorId="0" ref="BK26">
      <text>
        <t xml:space="preserve">Fatura Nubank + 
Fatura Bradesco+
Cartão Lígia+
almoço TRT+
Depot (saída com a Ana)+
Mercantil Lagoa+
Almoço TRT+
pizza+
farmácia+
farmácia+
mercantil+
sopa+
farmácia
</t>
      </text>
    </comment>
    <comment authorId="0" ref="BL26">
      <text>
        <t xml:space="preserve">Gasolina+
conserto geladeira parajuru+
transf jr nubank+
padaria</t>
      </text>
    </comment>
    <comment authorId="0" ref="BQ26">
      <text>
        <t xml:space="preserve">Fatura Nubank + 
Fatura Bradesco +
Cartão Lígia</t>
      </text>
    </comment>
    <comment authorId="0" ref="BK27">
      <text>
        <t xml:space="preserve">Transf Lígia aniversário +
Ajuste de valor para fechar o mês</t>
      </text>
    </comment>
    <comment authorId="0" ref="BL27">
      <text>
        <t xml:space="preserve">veterinário Bingo+
casa do chocolate+
emprestimo Lu</t>
      </text>
    </comment>
    <comment authorId="0" ref="BQ27">
      <text>
        <t xml:space="preserve">Internet </t>
      </text>
    </comment>
    <comment authorId="0" ref="BJ28">
      <text>
        <t xml:space="preserve">Transf Isabela, Jamila e Karol viagem
</t>
      </text>
    </comment>
    <comment authorId="0" ref="BK28">
      <text>
        <t xml:space="preserve">Financiamento casa +
IPTU +
Energia +
Internet +
ANASTIC</t>
      </text>
    </comment>
    <comment authorId="0" ref="BQ28">
      <text>
        <t xml:space="preserve">Financiamento casa +
IPTU +
Energia +
Internet +
ANASTIC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Diarista 1</t>
      </text>
    </comment>
    <comment authorId="0" ref="D3">
      <text>
        <t xml:space="preserve">Mensal	R$ 1.700,00	Supermercado
Mensal	R$ 700,00	Gasolina
Mensal	R$ 2.000,00	Lanches / Saídas / Compras
Mensal	R$ 250,00	Farmácia
Mensal	R$ 150,00	Ifood</t>
      </text>
    </comment>
    <comment authorId="0" ref="I3">
      <text>
        <t xml:space="preserve">Diarista 1</t>
      </text>
    </comment>
    <comment authorId="0" ref="J3">
      <text>
        <t xml:space="preserve">Mensal	R$ 1.700,00	Supermercado
Mensal	R$ 700,00	Gasolina
Mensal	R$ 2.000,00	Lanches / Saídas / Compras
Mensal	R$ 250,00	Farmácia
Mensal	R$ 150,00	Ifood</t>
      </text>
    </comment>
    <comment authorId="0" ref="O3">
      <text>
        <t xml:space="preserve">Diarista 1</t>
      </text>
    </comment>
    <comment authorId="0" ref="P3">
      <text>
        <t xml:space="preserve">Mensal	R$ 1.700,00	Supermercado
Mensal	R$ 700,00	Gasolina
Mensal	R$ 2.000,00	Lanches / Saídas / Compras
Mensal	R$ 250,00	Farmácia
Mensal	R$ 150,00	Ifood</t>
      </text>
    </comment>
    <comment authorId="0" ref="U3">
      <text>
        <t xml:space="preserve">Diarista 1</t>
      </text>
    </comment>
    <comment authorId="0" ref="V3">
      <text>
        <t xml:space="preserve">Mensal	R$ 1.700,00	Supermercado
Mensal	R$ 700,00	Gasolina
Mensal	R$ 2.000,00	Lanches / Saídas / Compras
Mensal	R$ 250,00	Farmácia
Mensal	R$ 150,00	Ifood</t>
      </text>
    </comment>
    <comment authorId="0" ref="AA3">
      <text>
        <t xml:space="preserve">Diarista 1</t>
      </text>
    </comment>
    <comment authorId="0" ref="AB3">
      <text>
        <t xml:space="preserve">Mensal	R$ 1.700,00	Supermercado
Mensal	R$ 700,00	Gasolina
Mensal	R$ 2.000,00	Lanches / Saídas / Compras
Mensal	R$ 250,00	Farmácia
Mensal	R$ 150,00	Ifood</t>
      </text>
    </comment>
    <comment authorId="0" ref="AG3">
      <text>
        <t xml:space="preserve">Diarista 1</t>
      </text>
    </comment>
    <comment authorId="0" ref="AH3">
      <text>
        <t xml:space="preserve">Mensal	R$ 1.700,00	Supermercado
Mensal	R$ 700,00	Gasolina
Mensal	R$ 2.000,00	Lanches / Saídas / Compras
Mensal	R$ 250,00	Farmácia
Mensal	R$ 150,00	Ifood</t>
      </text>
    </comment>
    <comment authorId="0" ref="AM3">
      <text>
        <t xml:space="preserve">Diarista 1</t>
      </text>
    </comment>
    <comment authorId="0" ref="AN3">
      <text>
        <t xml:space="preserve">Mensal	R$ 1.700,00	Supermercado
Mensal	R$ 700,00	Gasolina
Mensal	R$ 2.000,00	Lanches / Saídas / Compras
Mensal	R$ 250,00	Farmácia
Mensal	R$ 150,00	Ifood</t>
      </text>
    </comment>
    <comment authorId="0" ref="AS3">
      <text>
        <t xml:space="preserve">Diarista 1</t>
      </text>
    </comment>
    <comment authorId="0" ref="AT3">
      <text>
        <t xml:space="preserve">Mensal	R$ 1.700,00	Supermercado
Mensal	R$ 700,00	Gasolina
Mensal	R$ 2.000,00	Lanches / Saídas / Compras
Mensal	R$ 250,00	Farmácia
Mensal	R$ 150,00	Ifood</t>
      </text>
    </comment>
    <comment authorId="0" ref="AY3">
      <text>
        <t xml:space="preserve">Diarista 1</t>
      </text>
    </comment>
    <comment authorId="0" ref="AZ3">
      <text>
        <t xml:space="preserve">Mensal	R$ 1.700,00	Supermercado
Mensal	R$ 700,00	Gasolina
Mensal	R$ 2.000,00	Lanches / Saídas / Compras
Mensal	R$ 250,00	Farmácia
Mensal	R$ 150,00	Ifood</t>
      </text>
    </comment>
    <comment authorId="0" ref="BE3">
      <text>
        <t xml:space="preserve">Diarista 1</t>
      </text>
    </comment>
    <comment authorId="0" ref="BF3">
      <text>
        <t xml:space="preserve">Mensal	R$ 1.700,00	Supermercado
Mensal	R$ 700,00	Gasolina
Mensal	R$ 2.000,00	Lanches / Saídas / Compras
Mensal	R$ 250,00	Farmácia
Mensal	R$ 150,00	Ifood</t>
      </text>
    </comment>
    <comment authorId="0" ref="BK3">
      <text>
        <t xml:space="preserve">Diarista 1</t>
      </text>
    </comment>
    <comment authorId="0" ref="BL3">
      <text>
        <t xml:space="preserve">Mensal	R$ 1.700,00	Supermercado
Mensal	R$ 700,00	Gasolina
Mensal	R$ 2.000,00	Lanches / Saídas / Compras
Mensal	R$ 250,00	Farmácia
Mensal	R$ 150,00	Ifood</t>
      </text>
    </comment>
    <comment authorId="0" ref="BQ3">
      <text>
        <t xml:space="preserve">Diarista 1</t>
      </text>
    </comment>
    <comment authorId="0" ref="BR3">
      <text>
        <t xml:space="preserve">Mensal	R$ 1.700,00	Supermercado
Mensal	R$ 700,00	Gasolina
Mensal	R$ 2.000,00	Lanches / Saídas / Compras
Mensal	R$ 250,00	Farmácia
Mensal	R$ 150,00	Ifood</t>
      </text>
    </comment>
    <comment authorId="0" ref="D4">
      <text>
        <t xml:space="preserve">Mensal	R$ 1.700,00	Supermercado
Mensal	R$ 700,00	Gasolina
Mensal	R$ 2.000,00	Lanches / Saídas / Compras
Mensal	R$ 250,00	Farmácia
Mensal	R$ 150,00	Ifood</t>
      </text>
    </comment>
    <comment authorId="0" ref="J4">
      <text>
        <t xml:space="preserve">Mensal	R$ 1.700,00	Supermercado
Mensal	R$ 700,00	Gasolina
Mensal	R$ 2.000,00	Lanches / Saídas / Compras
Mensal	R$ 250,00	Farmácia
Mensal	R$ 150,00	Ifood</t>
      </text>
    </comment>
    <comment authorId="0" ref="P4">
      <text>
        <t xml:space="preserve">Mensal	R$ 1.700,00	Supermercado
Mensal	R$ 700,00	Gasolina
Mensal	R$ 2.000,00	Lanches / Saídas / Compras
Mensal	R$ 250,00	Farmácia
Mensal	R$ 150,00	Ifood</t>
      </text>
    </comment>
    <comment authorId="0" ref="V4">
      <text>
        <t xml:space="preserve">Mensal	R$ 1.700,00	Supermercado
Mensal	R$ 700,00	Gasolina
Mensal	R$ 2.000,00	Lanches / Saídas / Compras
Mensal	R$ 250,00	Farmácia
Mensal	R$ 150,00	Ifood</t>
      </text>
    </comment>
    <comment authorId="0" ref="AB4">
      <text>
        <t xml:space="preserve">Mensal	R$ 1.700,00	Supermercado
Mensal	R$ 700,00	Gasolina
Mensal	R$ 2.000,00	Lanches / Saídas / Compras
Mensal	R$ 250,00	Farmácia
Mensal	R$ 150,00	Ifood</t>
      </text>
    </comment>
    <comment authorId="0" ref="AH4">
      <text>
        <t xml:space="preserve">Mensal	R$ 1.700,00	Supermercado
Mensal	R$ 700,00	Gasolina
Mensal	R$ 2.000,00	Lanches / Saídas / Compras
Mensal	R$ 250,00	Farmácia
Mensal	R$ 150,00	Ifood</t>
      </text>
    </comment>
    <comment authorId="0" ref="AN4">
      <text>
        <t xml:space="preserve">Mensal	R$ 1.700,00	Supermercado
Mensal	R$ 700,00	Gasolina
Mensal	R$ 2.000,00	Lanches / Saídas / Compras
Mensal	R$ 250,00	Farmácia
Mensal	R$ 150,00	Ifood</t>
      </text>
    </comment>
    <comment authorId="0" ref="AT4">
      <text>
        <t xml:space="preserve">Mensal	R$ 1.700,00	Supermercado
Mensal	R$ 700,00	Gasolina
Mensal	R$ 2.000,00	Lanches / Saídas / Compras
Mensal	R$ 250,00	Farmácia
Mensal	R$ 150,00	Ifood</t>
      </text>
    </comment>
    <comment authorId="0" ref="AZ4">
      <text>
        <t xml:space="preserve">Mensal	R$ 1.700,00	Supermercado
Mensal	R$ 700,00	Gasolina
Mensal	R$ 2.000,00	Lanches / Saídas / Compras
Mensal	R$ 250,00	Farmácia
Mensal	R$ 150,00	Ifood</t>
      </text>
    </comment>
    <comment authorId="0" ref="BF4">
      <text>
        <t xml:space="preserve">Mensal	R$ 1.700,00	Supermercado
Mensal	R$ 700,00	Gasolina
Mensal	R$ 2.000,00	Lanches / Saídas / Compras
Mensal	R$ 250,00	Farmácia
Mensal	R$ 150,00	Ifood</t>
      </text>
    </comment>
    <comment authorId="0" ref="BL4">
      <text>
        <t xml:space="preserve">Mensal	R$ 1.700,00	Supermercado
Mensal	R$ 700,00	Gasolina
Mensal	R$ 2.000,00	Lanches / Saídas / Compras
Mensal	R$ 250,00	Farmácia
Mensal	R$ 150,00	Ifood</t>
      </text>
    </comment>
    <comment authorId="0" ref="BR4">
      <text>
        <t xml:space="preserve">Mensal	R$ 1.700,00	Supermercado
Mensal	R$ 700,00	Gasolina
Mensal	R$ 2.000,00	Lanches / Saídas / Compras
Mensal	R$ 250,00	Farmácia
Mensal	R$ 150,00	Ifood</t>
      </text>
    </comment>
    <comment authorId="0" ref="C7">
      <text>
        <t xml:space="preserve">Financiamento casa + IPTU</t>
      </text>
    </comment>
    <comment authorId="0" ref="I7">
      <text>
        <t xml:space="preserve">Financiamento casa + IPTU</t>
      </text>
    </comment>
    <comment authorId="0" ref="O7">
      <text>
        <t xml:space="preserve">Financiamento casa + IPTU</t>
      </text>
    </comment>
    <comment authorId="0" ref="U7">
      <text>
        <t xml:space="preserve">Financiamento casa + IPTU</t>
      </text>
    </comment>
    <comment authorId="0" ref="AA7">
      <text>
        <t xml:space="preserve">Financiamento casa + IPTU</t>
      </text>
    </comment>
    <comment authorId="0" ref="AG7">
      <text>
        <t xml:space="preserve">Financiamento casa + IPTU</t>
      </text>
    </comment>
    <comment authorId="0" ref="AM7">
      <text>
        <t xml:space="preserve">Financiamento casa + IPTU</t>
      </text>
    </comment>
    <comment authorId="0" ref="AS7">
      <text>
        <t xml:space="preserve">Financiamento casa + IPTU</t>
      </text>
    </comment>
    <comment authorId="0" ref="AY7">
      <text>
        <t xml:space="preserve">Financiamento casa + IPTU</t>
      </text>
    </comment>
    <comment authorId="0" ref="BE7">
      <text>
        <t xml:space="preserve">Financiamento casa + IPTU</t>
      </text>
    </comment>
    <comment authorId="0" ref="BK7">
      <text>
        <t xml:space="preserve">Financiamento casa + IPTU</t>
      </text>
    </comment>
    <comment authorId="0" ref="BQ7">
      <text>
        <t xml:space="preserve">Financiamento casa + IPTU</t>
      </text>
    </comment>
    <comment authorId="0" ref="C12">
      <text>
        <t xml:space="preserve">Escola Arthur + 
Segurança rua +
Água +
TIM
</t>
      </text>
    </comment>
    <comment authorId="0" ref="I12">
      <text>
        <t xml:space="preserve">Escola Arthur + 
Segurança rua +
Água +
TIM
</t>
      </text>
    </comment>
    <comment authorId="0" ref="O12">
      <text>
        <t xml:space="preserve">Escola Arthur + 
Segurança rua +
Água +
TIM
</t>
      </text>
    </comment>
    <comment authorId="0" ref="U12">
      <text>
        <t xml:space="preserve">Escola Arthur + 
Segurança rua +
Água +
TIM
</t>
      </text>
    </comment>
    <comment authorId="0" ref="AA12">
      <text>
        <t xml:space="preserve">Escola Arthur + 
Segurança rua +
Água +
TIM
</t>
      </text>
    </comment>
    <comment authorId="0" ref="AG12">
      <text>
        <t xml:space="preserve">Escola Arthur + 
Segurança rua +
Água +
TIM
</t>
      </text>
    </comment>
    <comment authorId="0" ref="AM12">
      <text>
        <t xml:space="preserve">Escola Arthur + 
Segurança rua +
Água +
TIM
</t>
      </text>
    </comment>
    <comment authorId="0" ref="AS12">
      <text>
        <t xml:space="preserve">Escola Arthur + 
Segurança rua +
Água +
TIM
</t>
      </text>
    </comment>
    <comment authorId="0" ref="AY12">
      <text>
        <t xml:space="preserve">Escola Arthur + 
Segurança rua +
Água +
TIM
</t>
      </text>
    </comment>
    <comment authorId="0" ref="BE12">
      <text>
        <t xml:space="preserve">Escola Arthur + 
Segurança rua +
Água +
TIM
</t>
      </text>
    </comment>
    <comment authorId="0" ref="BK12">
      <text>
        <t xml:space="preserve">Escola Arthur + 
Segurança rua +
Água +
TIM
</t>
      </text>
    </comment>
    <comment authorId="0" ref="BQ12">
      <text>
        <t xml:space="preserve">Escola Arthur + 
Segurança rua +
Água +
TIM
</t>
      </text>
    </comment>
    <comment authorId="0" ref="C17">
      <text>
        <t xml:space="preserve">Diarista 2</t>
      </text>
    </comment>
    <comment authorId="0" ref="I17">
      <text>
        <t xml:space="preserve">Diarista 2</t>
      </text>
    </comment>
    <comment authorId="0" ref="O17">
      <text>
        <t xml:space="preserve">Diarista 2</t>
      </text>
    </comment>
    <comment authorId="0" ref="U17">
      <text>
        <t xml:space="preserve">Diarista 2</t>
      </text>
    </comment>
    <comment authorId="0" ref="AA17">
      <text>
        <t xml:space="preserve">Diarista 2</t>
      </text>
    </comment>
    <comment authorId="0" ref="AG17">
      <text>
        <t xml:space="preserve">Diarista 2</t>
      </text>
    </comment>
    <comment authorId="0" ref="AM17">
      <text>
        <t xml:space="preserve">Diarista 2</t>
      </text>
    </comment>
    <comment authorId="0" ref="AS17">
      <text>
        <t xml:space="preserve">Diarista 2</t>
      </text>
    </comment>
    <comment authorId="0" ref="AY17">
      <text>
        <t xml:space="preserve">Diarista 2</t>
      </text>
    </comment>
    <comment authorId="0" ref="BE17">
      <text>
        <t xml:space="preserve">Diarista 2</t>
      </text>
    </comment>
    <comment authorId="0" ref="BK17">
      <text>
        <t xml:space="preserve">Diarista 2</t>
      </text>
    </comment>
    <comment authorId="0" ref="BQ17">
      <text>
        <t xml:space="preserve">Diarista 2</t>
      </text>
    </comment>
    <comment authorId="0" ref="C22">
      <text>
        <t xml:space="preserve">TIM
</t>
      </text>
    </comment>
    <comment authorId="0" ref="I22">
      <text>
        <t xml:space="preserve">TIM
</t>
      </text>
    </comment>
    <comment authorId="0" ref="O22">
      <text>
        <t xml:space="preserve">TIM
</t>
      </text>
    </comment>
    <comment authorId="0" ref="U22">
      <text>
        <t xml:space="preserve">TIM
</t>
      </text>
    </comment>
    <comment authorId="0" ref="AA22">
      <text>
        <t xml:space="preserve">Diarista 2</t>
      </text>
    </comment>
    <comment authorId="0" ref="AG22">
      <text>
        <t xml:space="preserve">TIM
</t>
      </text>
    </comment>
    <comment authorId="0" ref="AM22">
      <text>
        <t xml:space="preserve">TIM
</t>
      </text>
    </comment>
    <comment authorId="0" ref="AS22">
      <text>
        <t xml:space="preserve">TIM
</t>
      </text>
    </comment>
    <comment authorId="0" ref="AY22">
      <text>
        <t xml:space="preserve">TIM
</t>
      </text>
    </comment>
    <comment authorId="0" ref="BE22">
      <text>
        <t xml:space="preserve">TIM
</t>
      </text>
    </comment>
    <comment authorId="0" ref="BK22">
      <text>
        <t xml:space="preserve">TIM
</t>
      </text>
    </comment>
    <comment authorId="0" ref="BQ22">
      <text>
        <t xml:space="preserve">TIM
</t>
      </text>
    </comment>
    <comment authorId="0" ref="C23">
      <text>
        <t xml:space="preserve">Assinaturas no Nubank + Academias no Bradesco</t>
      </text>
    </comment>
    <comment authorId="0" ref="I23">
      <text>
        <t xml:space="preserve">Assinaturas no Nubank + Academias no Bradesco</t>
      </text>
    </comment>
    <comment authorId="0" ref="O23">
      <text>
        <t xml:space="preserve">Assinaturas no Nubank + Academias no Bradesco</t>
      </text>
    </comment>
    <comment authorId="0" ref="U23">
      <text>
        <t xml:space="preserve">Assinaturas no Nubank + Academias no Bradesco</t>
      </text>
    </comment>
    <comment authorId="0" ref="AA23">
      <text>
        <t xml:space="preserve">Diarista 2</t>
      </text>
    </comment>
    <comment authorId="0" ref="AG23">
      <text>
        <t xml:space="preserve">Assinaturas no Nubank + Academias no Bradesco</t>
      </text>
    </comment>
    <comment authorId="0" ref="AM23">
      <text>
        <t xml:space="preserve">Assinaturas no Nubank + Academias no Bradesco</t>
      </text>
    </comment>
    <comment authorId="0" ref="AS23">
      <text>
        <t xml:space="preserve">Assinaturas no Nubank + Academias no Bradesco</t>
      </text>
    </comment>
    <comment authorId="0" ref="AY23">
      <text>
        <t xml:space="preserve">Assinaturas no Nubank + Academias no Bradesco</t>
      </text>
    </comment>
    <comment authorId="0" ref="BE23">
      <text>
        <t xml:space="preserve">Assinaturas no Nubank + Academias no Bradesco</t>
      </text>
    </comment>
    <comment authorId="0" ref="BK23">
      <text>
        <t xml:space="preserve">Assinaturas no Nubank + Academias no Bradesco</t>
      </text>
    </comment>
    <comment authorId="0" ref="BQ23">
      <text>
        <t xml:space="preserve">Assinaturas no Nubank + Academias no Bradesco</t>
      </text>
    </comment>
    <comment authorId="0" ref="C24">
      <text>
        <t xml:space="preserve">ANASTIC</t>
      </text>
    </comment>
    <comment authorId="0" ref="I24">
      <text>
        <t xml:space="preserve">ANASTIC</t>
      </text>
    </comment>
    <comment authorId="0" ref="O24">
      <text>
        <t xml:space="preserve">ANASTIC</t>
      </text>
    </comment>
    <comment authorId="0" ref="U24">
      <text>
        <t xml:space="preserve">ANASTIC</t>
      </text>
    </comment>
    <comment authorId="0" ref="AA24">
      <text>
        <t xml:space="preserve">Diarista 2</t>
      </text>
    </comment>
    <comment authorId="0" ref="AG24">
      <text>
        <t xml:space="preserve">ANASTIC</t>
      </text>
    </comment>
    <comment authorId="0" ref="AM24">
      <text>
        <t xml:space="preserve">ANASTIC</t>
      </text>
    </comment>
    <comment authorId="0" ref="AS24">
      <text>
        <t xml:space="preserve">ANASTIC</t>
      </text>
    </comment>
    <comment authorId="0" ref="AY24">
      <text>
        <t xml:space="preserve">ANASTIC</t>
      </text>
    </comment>
    <comment authorId="0" ref="BE24">
      <text>
        <t xml:space="preserve">ANASTIC</t>
      </text>
    </comment>
    <comment authorId="0" ref="BK24">
      <text>
        <t xml:space="preserve">ANASTIC</t>
      </text>
    </comment>
    <comment authorId="0" ref="BQ24">
      <text>
        <t xml:space="preserve">ANASTIC</t>
      </text>
    </comment>
    <comment authorId="0" ref="C25">
      <text>
        <t xml:space="preserve">Assinaturas no Nubank + Academias no Bradesco</t>
      </text>
    </comment>
    <comment authorId="0" ref="I25">
      <text>
        <t xml:space="preserve">Assinaturas no Nubank + Academias no Bradesco</t>
      </text>
    </comment>
    <comment authorId="0" ref="O25">
      <text>
        <t xml:space="preserve">Assinaturas no Nubank + Academias no Bradesco</t>
      </text>
    </comment>
    <comment authorId="0" ref="U25">
      <text>
        <t xml:space="preserve">Assinaturas no Nubank + Academias no Bradesco</t>
      </text>
    </comment>
    <comment authorId="0" ref="AA25">
      <text>
        <t xml:space="preserve">Assinaturas no Nubank + Academias no Bradesco</t>
      </text>
    </comment>
    <comment authorId="0" ref="AG25">
      <text>
        <t xml:space="preserve">Assinaturas no Nubank + Academias no Bradesco</t>
      </text>
    </comment>
    <comment authorId="0" ref="AM25">
      <text>
        <t xml:space="preserve">Assinaturas no Nubank + Academias no Bradesco</t>
      </text>
    </comment>
    <comment authorId="0" ref="AS25">
      <text>
        <t xml:space="preserve">Assinaturas no Nubank + Academias no Bradesco</t>
      </text>
    </comment>
    <comment authorId="0" ref="AY25">
      <text>
        <t xml:space="preserve">Assinaturas no Nubank + Academias no Bradesco</t>
      </text>
    </comment>
    <comment authorId="0" ref="BE25">
      <text>
        <t xml:space="preserve">Assinaturas no Nubank + Academias no Bradesco</t>
      </text>
    </comment>
    <comment authorId="0" ref="BK25">
      <text>
        <t xml:space="preserve">Assinaturas no Nubank + Academias no Bradesco</t>
      </text>
    </comment>
    <comment authorId="0" ref="BQ25">
      <text>
        <t xml:space="preserve">Assinaturas no Nubank + Academias no Bradesco</t>
      </text>
    </comment>
    <comment authorId="0" ref="C26">
      <text>
        <t xml:space="preserve">Fatura Nubank + 
Fatura Bradesco + 
Cartão Lígia</t>
      </text>
    </comment>
    <comment authorId="0" ref="I26">
      <text>
        <t xml:space="preserve">Fatura Nubank + 
Fatura Bradesco + 
Cartão Lígia</t>
      </text>
    </comment>
    <comment authorId="0" ref="O26">
      <text>
        <t xml:space="preserve">Fatura Nubank + 
Fatura Bradesco + 
Cartão Lígia</t>
      </text>
    </comment>
    <comment authorId="0" ref="U26">
      <text>
        <t xml:space="preserve">Fatura Nubank + 
Fatura Bradesco + 
Cartão Lígia</t>
      </text>
    </comment>
    <comment authorId="0" ref="AA26">
      <text>
        <t xml:space="preserve">Fatura Nubank + 
Fatura Bradesco</t>
      </text>
    </comment>
    <comment authorId="0" ref="AG26">
      <text>
        <t xml:space="preserve">Fatura Nubank + 
Fatura Bradesco</t>
      </text>
    </comment>
    <comment authorId="0" ref="AM26">
      <text>
        <t xml:space="preserve">Fatura Nubank + 
Fatura Bradesco</t>
      </text>
    </comment>
    <comment authorId="0" ref="AS26">
      <text>
        <t xml:space="preserve">Fatura Nubank + 
Fatura Bradesco</t>
      </text>
    </comment>
    <comment authorId="0" ref="AY26">
      <text>
        <t xml:space="preserve">Fatura Nubank</t>
      </text>
    </comment>
    <comment authorId="0" ref="BE26">
      <text>
        <t xml:space="preserve">Fatura Nubank</t>
      </text>
    </comment>
    <comment authorId="0" ref="C27">
      <text>
        <t xml:space="preserve">Internet</t>
      </text>
    </comment>
    <comment authorId="0" ref="I27">
      <text>
        <t xml:space="preserve">Internet</t>
      </text>
    </comment>
    <comment authorId="0" ref="O27">
      <text>
        <t xml:space="preserve">Internet</t>
      </text>
    </comment>
    <comment authorId="0" ref="U27">
      <text>
        <t xml:space="preserve">Internet</t>
      </text>
    </comment>
    <comment authorId="0" ref="AA27">
      <text>
        <t xml:space="preserve">Internet</t>
      </text>
    </comment>
    <comment authorId="0" ref="AG27">
      <text>
        <t xml:space="preserve">Internet</t>
      </text>
    </comment>
    <comment authorId="0" ref="AM27">
      <text>
        <t xml:space="preserve">Internet</t>
      </text>
    </comment>
    <comment authorId="0" ref="AS27">
      <text>
        <t xml:space="preserve">Internet</t>
      </text>
    </comment>
    <comment authorId="0" ref="AY27">
      <text>
        <t xml:space="preserve">Internet</t>
      </text>
    </comment>
    <comment authorId="0" ref="BE27">
      <text>
        <t xml:space="preserve">Internet</t>
      </text>
    </comment>
    <comment authorId="0" ref="BK27">
      <text>
        <t xml:space="preserve">Internet</t>
      </text>
    </comment>
    <comment authorId="0" ref="BQ27">
      <text>
        <t xml:space="preserve">Internet</t>
      </text>
    </comment>
    <comment authorId="0" ref="C28">
      <text>
        <t xml:space="preserve">Financiamento casa +
IPTU +
Energia +
Internet +
ANASTIC</t>
      </text>
    </comment>
    <comment authorId="0" ref="I28">
      <text>
        <t xml:space="preserve">Financiamento casa +
IPTU +
Energia +
Internet +
ANASTIC</t>
      </text>
    </comment>
    <comment authorId="0" ref="O28">
      <text>
        <t xml:space="preserve">Financiamento casa +
IPTU +
Energia +
Internet +
ANASTIC</t>
      </text>
    </comment>
    <comment authorId="0" ref="U28">
      <text>
        <t xml:space="preserve">Financiamento casa +
IPTU +
Energia +
Internet +
ANASTIC</t>
      </text>
    </comment>
    <comment authorId="0" ref="AA28">
      <text>
        <t xml:space="preserve">Financiamento casa +
IPTU +
Energia +
Internet +
ANASTIC</t>
      </text>
    </comment>
    <comment authorId="0" ref="AG28">
      <text>
        <t xml:space="preserve">Financiamento casa +
IPTU +
Energia +
Internet +
ANASTIC</t>
      </text>
    </comment>
    <comment authorId="0" ref="AM28">
      <text>
        <t xml:space="preserve">Financiamento casa +
IPTU +
Energia +
Internet +
ANASTIC</t>
      </text>
    </comment>
    <comment authorId="0" ref="AS28">
      <text>
        <t xml:space="preserve">Financiamento casa +
IPTU +
Energia +
Internet +
ANASTIC</t>
      </text>
    </comment>
    <comment authorId="0" ref="AY28">
      <text>
        <t xml:space="preserve">Financiamento casa +
IPTU +
Energia +
Internet +
ANASTIC</t>
      </text>
    </comment>
    <comment authorId="0" ref="BE28">
      <text>
        <t xml:space="preserve">Financiamento casa +
IPTU +
Energia +
Internet +
ANASTIC</t>
      </text>
    </comment>
    <comment authorId="0" ref="BK28">
      <text>
        <t xml:space="preserve">Financiamento casa +
IPTU +
Energia +
Internet +
ANASTIC</t>
      </text>
    </comment>
    <comment authorId="0" ref="BQ28">
      <text>
        <t xml:space="preserve">Financiamento casa +
IPTU +
Energia +
Internet +
ANASTIC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Sem fórmula, ponto inicial</t>
      </text>
    </comment>
    <comment authorId="0" ref="B5">
      <text>
        <t xml:space="preserve">Dinheiro disponível com liquidez imediata, 24h por dia, 7 dias por semana</t>
      </text>
    </comment>
    <comment authorId="0" ref="B14">
      <text>
        <t xml:space="preserve">Dinheiro que está alocado a risco, função principal dele é trazer mais dinheiro pra casa</t>
      </text>
    </comment>
    <comment authorId="0" ref="B23">
      <text>
        <t xml:space="preserve">Todo o restante do patrimônio. Pode ser imóveis, FGTS, carro, tudo que tiver valor</t>
      </text>
    </comment>
  </commentList>
</comments>
</file>

<file path=xl/sharedStrings.xml><?xml version="1.0" encoding="utf-8"?>
<sst xmlns="http://schemas.openxmlformats.org/spreadsheetml/2006/main" count="365" uniqueCount="52">
  <si>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</si>
  <si>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</si>
  <si>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</si>
  <si>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</si>
  <si>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</si>
  <si>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</si>
  <si>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</si>
  <si>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</si>
  <si>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</si>
  <si>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</si>
  <si>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</si>
  <si>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</si>
  <si>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</si>
  <si>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Entrada</t>
  </si>
  <si>
    <t>Saída</t>
  </si>
  <si>
    <t>Diário</t>
  </si>
  <si>
    <t>Saldo</t>
  </si>
  <si>
    <t>ENTRADAS</t>
  </si>
  <si>
    <t>SAÍDAS</t>
  </si>
  <si>
    <t>DIÁRIO</t>
  </si>
  <si>
    <t>Saída Total</t>
  </si>
  <si>
    <t>Performance</t>
  </si>
  <si>
    <t>Entradas</t>
  </si>
  <si>
    <t>Economia</t>
  </si>
  <si>
    <t>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</si>
  <si>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</si>
  <si>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</si>
  <si>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</si>
  <si>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</si>
  <si>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</si>
  <si>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</si>
  <si>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</si>
  <si>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</si>
  <si>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</si>
  <si>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</si>
  <si>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</si>
  <si>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</si>
  <si>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</si>
  <si>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TOTAL Patrimônio</t>
  </si>
  <si>
    <t>Reserva</t>
  </si>
  <si>
    <t>#01</t>
  </si>
  <si>
    <t>#02</t>
  </si>
  <si>
    <t>#03</t>
  </si>
  <si>
    <t>#04</t>
  </si>
  <si>
    <t>#05</t>
  </si>
  <si>
    <t>#06</t>
  </si>
  <si>
    <t>#07</t>
  </si>
  <si>
    <t>Investimentos</t>
  </si>
  <si>
    <t>Outros</t>
  </si>
  <si>
    <t>Saldo Devedor</t>
  </si>
  <si>
    <t>Patrimônio Líquido</t>
  </si>
  <si>
    <t>% de patrimônio líquido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</si>
</sst>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[$R$ -416]#,##0"/>
  </numFmts>
  <fonts count="13">
    <font>
      <sz val="10.0"/>
      <color rgb="FF000000"/>
      <name val="Arial"/>
    </font>
    <font>
      <b/>
    </font>
    <font/>
    <font>
      <name val="Arial"/>
    </font>
    <font>
      <b/>
      <name val="Arial"/>
    </font>
    <font>
      <sz val="7.0"/>
    </font>
    <font>
      <b/>
      <sz val="7.0"/>
    </font>
    <font>
      <sz val="14.0"/>
    </font>
    <font>
      <sz val="10.0"/>
    </font>
    <font>
      <sz val="9.0"/>
    </font>
    <font>
      <sz val="8.0"/>
    </font>
    <font>
      <b/>
      <sz val="11.0"/>
    </font>
    <font>
      <sz val="11.0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</fills>
  <borders count="3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6" xfId="0" applyAlignment="1" applyFont="1" applyNumberForma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2" numFmtId="166" xfId="0" applyAlignment="1" applyFont="1" applyNumberFormat="1">
      <alignment horizontal="center" vertical="center"/>
    </xf>
    <xf borderId="0" fillId="4" fontId="1" numFmtId="10" xfId="0" applyAlignment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10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5" numFmtId="10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/>
    </xf>
    <xf borderId="0" fillId="0" fontId="11" numFmtId="166" xfId="0" applyAlignment="1" applyFont="1" applyNumberFormat="1">
      <alignment horizontal="center" readingOrder="0" vertical="center"/>
    </xf>
    <xf borderId="2" fillId="0" fontId="11" numFmtId="166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5" fontId="10" numFmtId="166" xfId="0" applyAlignment="1" applyFill="1" applyFont="1" applyNumberFormat="1">
      <alignment horizontal="center" readingOrder="0" vertical="center"/>
    </xf>
    <xf borderId="0" fillId="0" fontId="10" numFmtId="166" xfId="0" applyAlignment="1" applyFont="1" applyNumberFormat="1">
      <alignment horizontal="center" vertical="center"/>
    </xf>
    <xf borderId="2" fillId="0" fontId="10" numFmtId="166" xfId="0" applyAlignment="1" applyBorder="1" applyFont="1" applyNumberFormat="1">
      <alignment horizontal="center" vertical="center"/>
    </xf>
    <xf borderId="0" fillId="6" fontId="2" numFmtId="166" xfId="0" applyAlignment="1" applyFill="1" applyFont="1" applyNumberFormat="1">
      <alignment horizontal="center"/>
    </xf>
    <xf borderId="0" fillId="6" fontId="1" numFmtId="166" xfId="0" applyAlignment="1" applyFont="1" applyNumberFormat="1">
      <alignment horizontal="right" readingOrder="0"/>
    </xf>
    <xf borderId="0" fillId="6" fontId="1" numFmtId="166" xfId="0" applyAlignment="1" applyFont="1" applyNumberFormat="1">
      <alignment horizontal="center" readingOrder="0" vertical="center"/>
    </xf>
    <xf borderId="2" fillId="6" fontId="1" numFmtId="166" xfId="0" applyAlignment="1" applyBorder="1" applyFont="1" applyNumberFormat="1">
      <alignment horizontal="center" readingOrder="0" vertical="center"/>
    </xf>
    <xf borderId="0" fillId="0" fontId="2" numFmtId="166" xfId="0" applyAlignment="1" applyFont="1" applyNumberFormat="1">
      <alignment horizontal="right" readingOrder="0"/>
    </xf>
    <xf borderId="2" fillId="0" fontId="2" numFmtId="166" xfId="0" applyAlignment="1" applyBorder="1" applyFont="1" applyNumberFormat="1">
      <alignment horizontal="center" readingOrder="0" vertical="center"/>
    </xf>
    <xf borderId="0" fillId="0" fontId="12" numFmtId="166" xfId="0" applyAlignment="1" applyFont="1" applyNumberFormat="1">
      <alignment horizontal="right" readingOrder="0"/>
    </xf>
    <xf borderId="0" fillId="2" fontId="2" numFmtId="166" xfId="0" applyAlignment="1" applyFont="1" applyNumberFormat="1">
      <alignment horizontal="center"/>
    </xf>
    <xf borderId="0" fillId="2" fontId="1" numFmtId="166" xfId="0" applyAlignment="1" applyFont="1" applyNumberFormat="1">
      <alignment horizontal="right" readingOrder="0"/>
    </xf>
    <xf borderId="0" fillId="2" fontId="1" numFmtId="166" xfId="0" applyAlignment="1" applyFont="1" applyNumberFormat="1">
      <alignment horizontal="center" readingOrder="0" vertical="center"/>
    </xf>
    <xf borderId="2" fillId="2" fontId="1" numFmtId="166" xfId="0" applyAlignment="1" applyBorder="1" applyFont="1" applyNumberFormat="1">
      <alignment horizontal="center" readingOrder="0" vertical="center"/>
    </xf>
    <xf borderId="2" fillId="0" fontId="2" numFmtId="166" xfId="0" applyAlignment="1" applyBorder="1" applyFont="1" applyNumberFormat="1">
      <alignment horizontal="center"/>
    </xf>
    <xf borderId="0" fillId="3" fontId="2" numFmtId="166" xfId="0" applyAlignment="1" applyFont="1" applyNumberFormat="1">
      <alignment horizontal="center"/>
    </xf>
    <xf borderId="0" fillId="3" fontId="1" numFmtId="166" xfId="0" applyAlignment="1" applyFont="1" applyNumberFormat="1">
      <alignment horizontal="right" readingOrder="0"/>
    </xf>
    <xf borderId="0" fillId="3" fontId="1" numFmtId="166" xfId="0" applyAlignment="1" applyFont="1" applyNumberFormat="1">
      <alignment horizontal="center" readingOrder="0" vertical="center"/>
    </xf>
    <xf borderId="2" fillId="3" fontId="1" numFmtId="166" xfId="0" applyAlignment="1" applyBorder="1" applyFont="1" applyNumberFormat="1">
      <alignment horizontal="center" readingOrder="0" vertical="center"/>
    </xf>
    <xf borderId="0" fillId="7" fontId="2" numFmtId="166" xfId="0" applyAlignment="1" applyFill="1" applyFont="1" applyNumberFormat="1">
      <alignment horizontal="center"/>
    </xf>
    <xf borderId="0" fillId="7" fontId="1" numFmtId="166" xfId="0" applyAlignment="1" applyFont="1" applyNumberFormat="1">
      <alignment horizontal="right" readingOrder="0"/>
    </xf>
    <xf borderId="0" fillId="7" fontId="1" numFmtId="166" xfId="0" applyAlignment="1" applyFont="1" applyNumberFormat="1">
      <alignment horizontal="center" readingOrder="0" vertical="center"/>
    </xf>
    <xf borderId="2" fillId="7" fontId="1" numFmtId="166" xfId="0" applyAlignment="1" applyBorder="1" applyFont="1" applyNumberFormat="1">
      <alignment horizontal="center" readingOrder="0" vertical="center"/>
    </xf>
    <xf borderId="0" fillId="8" fontId="2" numFmtId="166" xfId="0" applyAlignment="1" applyFill="1" applyFont="1" applyNumberFormat="1">
      <alignment horizontal="center"/>
    </xf>
    <xf borderId="0" fillId="8" fontId="1" numFmtId="166" xfId="0" applyAlignment="1" applyFont="1" applyNumberFormat="1">
      <alignment horizontal="right" readingOrder="0"/>
    </xf>
    <xf borderId="2" fillId="8" fontId="2" numFmtId="166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" fillId="0" fontId="2" numFmtId="9" xfId="0" applyAlignment="1" applyBorder="1" applyFont="1" applyNumberFormat="1">
      <alignment horizontal="center"/>
    </xf>
    <xf borderId="0" fillId="0" fontId="2" numFmtId="166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7FC"/>
          <bgColor rgb="FFF3F7F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63">
    <tableStyle count="2" pivot="0" name="2025-style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5-style 3">
      <tableStyleElement dxfId="1" type="firstRowStripe"/>
      <tableStyleElement dxfId="2" type="secondRowStripe"/>
    </tableStyle>
    <tableStyle count="2" pivot="0" name="2025-style 4">
      <tableStyleElement dxfId="1" type="firstRowStripe"/>
      <tableStyleElement dxfId="2" type="secondRowStripe"/>
    </tableStyle>
    <tableStyle count="2" pivot="0" name="2025-style 5">
      <tableStyleElement dxfId="1" type="firstRowStripe"/>
      <tableStyleElement dxfId="2" type="secondRowStripe"/>
    </tableStyle>
    <tableStyle count="2" pivot="0" name="2025-style 6">
      <tableStyleElement dxfId="1" type="firstRowStripe"/>
      <tableStyleElement dxfId="2" type="secondRowStripe"/>
    </tableStyle>
    <tableStyle count="2" pivot="0" name="2025-style 7">
      <tableStyleElement dxfId="1" type="firstRowStripe"/>
      <tableStyleElement dxfId="2" type="secondRowStripe"/>
    </tableStyle>
    <tableStyle count="2" pivot="0" name="2025-style 8">
      <tableStyleElement dxfId="1" type="firstRowStripe"/>
      <tableStyleElement dxfId="2" type="secondRowStripe"/>
    </tableStyle>
    <tableStyle count="2" pivot="0" name="2025-style 9">
      <tableStyleElement dxfId="1" type="firstRowStripe"/>
      <tableStyleElement dxfId="2" type="secondRowStripe"/>
    </tableStyle>
    <tableStyle count="2" pivot="0" name="2025-style 10">
      <tableStyleElement dxfId="1" type="firstRowStripe"/>
      <tableStyleElement dxfId="2" type="secondRowStripe"/>
    </tableStyle>
    <tableStyle count="2" pivot="0" name="2025-style 11">
      <tableStyleElement dxfId="1" type="firstRowStripe"/>
      <tableStyleElement dxfId="2" type="secondRowStripe"/>
    </tableStyle>
    <tableStyle count="2" pivot="0" name="2025-style 12">
      <tableStyleElement dxfId="1" type="firstRowStripe"/>
      <tableStyleElement dxfId="2" type="secondRowStripe"/>
    </tableStyle>
    <tableStyle count="2" pivot="0" name="2025-style 13">
      <tableStyleElement dxfId="2" type="firstRowStripe"/>
      <tableStyleElement dxfId="3" type="secondRowStripe"/>
    </tableStyle>
    <tableStyle count="2" pivot="0" name="2025-style 14">
      <tableStyleElement dxfId="2" type="firstRowStripe"/>
      <tableStyleElement dxfId="3" type="secondRowStripe"/>
    </tableStyle>
    <tableStyle count="2" pivot="0" name="2025-style 15">
      <tableStyleElement dxfId="2" type="firstRowStripe"/>
      <tableStyleElement dxfId="3" type="secondRowStripe"/>
    </tableStyle>
    <tableStyle count="2" pivot="0" name="2025-style 16">
      <tableStyleElement dxfId="2" type="firstRowStripe"/>
      <tableStyleElement dxfId="3" type="secondRowStripe"/>
    </tableStyle>
    <tableStyle count="2" pivot="0" name="2025-style 17">
      <tableStyleElement dxfId="2" type="firstRowStripe"/>
      <tableStyleElement dxfId="3" type="secondRowStripe"/>
    </tableStyle>
    <tableStyle count="2" pivot="0" name="2025-style 18">
      <tableStyleElement dxfId="2" type="firstRowStripe"/>
      <tableStyleElement dxfId="3" type="secondRowStripe"/>
    </tableStyle>
    <tableStyle count="2" pivot="0" name="2025-style 19">
      <tableStyleElement dxfId="2" type="firstRowStripe"/>
      <tableStyleElement dxfId="3" type="secondRowStripe"/>
    </tableStyle>
    <tableStyle count="2" pivot="0" name="2025-style 20">
      <tableStyleElement dxfId="2" type="firstRowStripe"/>
      <tableStyleElement dxfId="3" type="secondRowStripe"/>
    </tableStyle>
    <tableStyle count="2" pivot="0" name="2025-style 21">
      <tableStyleElement dxfId="2" type="firstRowStripe"/>
      <tableStyleElement dxfId="3" type="secondRowStripe"/>
    </tableStyle>
    <tableStyle count="2" pivot="0" name="2025-style 22">
      <tableStyleElement dxfId="2" type="firstRowStripe"/>
      <tableStyleElement dxfId="3" type="secondRowStripe"/>
    </tableStyle>
    <tableStyle count="2" pivot="0" name="2025-style 23">
      <tableStyleElement dxfId="2" type="firstRowStripe"/>
      <tableStyleElement dxfId="3" type="secondRowStripe"/>
    </tableStyle>
    <tableStyle count="2" pivot="0" name="2025-style 24">
      <tableStyleElement dxfId="2" type="firstRowStripe"/>
      <tableStyleElement dxfId="3" type="secondRowStripe"/>
    </tableStyle>
    <tableStyle count="2" pivot="0" name="2025-style 25">
      <tableStyleElement dxfId="2" type="firstRowStripe"/>
      <tableStyleElement dxfId="3" type="secondRowStripe"/>
    </tableStyle>
    <tableStyle count="2" pivot="0" name="2025-style 26">
      <tableStyleElement dxfId="2" type="firstRowStripe"/>
      <tableStyleElement dxfId="3" type="secondRowStripe"/>
    </tableStyle>
    <tableStyle count="2" pivot="0" name="2025-style 27">
      <tableStyleElement dxfId="2" type="firstRowStripe"/>
      <tableStyleElement dxfId="3" type="secondRowStripe"/>
    </tableStyle>
    <tableStyle count="2" pivot="0" name="2025-style 28">
      <tableStyleElement dxfId="2" type="firstRowStripe"/>
      <tableStyleElement dxfId="3" type="secondRowStripe"/>
    </tableStyle>
    <tableStyle count="2" pivot="0" name="2025-style 29">
      <tableStyleElement dxfId="2" type="firstRowStripe"/>
      <tableStyleElement dxfId="3" type="secondRowStripe"/>
    </tableStyle>
    <tableStyle count="2" pivot="0" name="2026-style">
      <tableStyleElement dxfId="1" type="firstRowStripe"/>
      <tableStyleElement dxfId="2" type="secondRowStripe"/>
    </tableStyle>
    <tableStyle count="2" pivot="0" name="2026-style 2">
      <tableStyleElement dxfId="1" type="firstRowStripe"/>
      <tableStyleElement dxfId="2" type="secondRowStripe"/>
    </tableStyle>
    <tableStyle count="2" pivot="0" name="2026-style 3">
      <tableStyleElement dxfId="1" type="firstRowStripe"/>
      <tableStyleElement dxfId="2" type="secondRowStripe"/>
    </tableStyle>
    <tableStyle count="2" pivot="0" name="2026-style 4">
      <tableStyleElement dxfId="1" type="firstRowStripe"/>
      <tableStyleElement dxfId="2" type="secondRowStripe"/>
    </tableStyle>
    <tableStyle count="2" pivot="0" name="2026-style 5">
      <tableStyleElement dxfId="1" type="firstRowStripe"/>
      <tableStyleElement dxfId="2" type="secondRowStripe"/>
    </tableStyle>
    <tableStyle count="2" pivot="0" name="2026-style 6">
      <tableStyleElement dxfId="1" type="firstRowStripe"/>
      <tableStyleElement dxfId="2" type="secondRowStripe"/>
    </tableStyle>
    <tableStyle count="2" pivot="0" name="2026-style 7">
      <tableStyleElement dxfId="1" type="firstRowStripe"/>
      <tableStyleElement dxfId="2" type="secondRowStripe"/>
    </tableStyle>
    <tableStyle count="2" pivot="0" name="2026-style 8">
      <tableStyleElement dxfId="1" type="firstRowStripe"/>
      <tableStyleElement dxfId="2" type="secondRowStripe"/>
    </tableStyle>
    <tableStyle count="2" pivot="0" name="2026-style 9">
      <tableStyleElement dxfId="1" type="firstRowStripe"/>
      <tableStyleElement dxfId="2" type="secondRowStripe"/>
    </tableStyle>
    <tableStyle count="2" pivot="0" name="2026-style 10">
      <tableStyleElement dxfId="1" type="firstRowStripe"/>
      <tableStyleElement dxfId="2" type="secondRowStripe"/>
    </tableStyle>
    <tableStyle count="2" pivot="0" name="2026-style 11">
      <tableStyleElement dxfId="1" type="firstRowStripe"/>
      <tableStyleElement dxfId="2" type="secondRowStripe"/>
    </tableStyle>
    <tableStyle count="2" pivot="0" name="2026-style 12">
      <tableStyleElement dxfId="1" type="firstRowStripe"/>
      <tableStyleElement dxfId="2" type="secondRowStripe"/>
    </tableStyle>
    <tableStyle count="2" pivot="0" name="2026-style 13">
      <tableStyleElement dxfId="1" type="firstRowStripe"/>
      <tableStyleElement dxfId="2" type="secondRowStripe"/>
    </tableStyle>
    <tableStyle count="2" pivot="0" name="2026-style 14">
      <tableStyleElement dxfId="2" type="firstRowStripe"/>
      <tableStyleElement dxfId="3" type="secondRowStripe"/>
    </tableStyle>
    <tableStyle count="2" pivot="0" name="2026-style 15">
      <tableStyleElement dxfId="2" type="firstRowStripe"/>
      <tableStyleElement dxfId="3" type="secondRowStripe"/>
    </tableStyle>
    <tableStyle count="2" pivot="0" name="2026-style 16">
      <tableStyleElement dxfId="2" type="firstRowStripe"/>
      <tableStyleElement dxfId="3" type="secondRowStripe"/>
    </tableStyle>
    <tableStyle count="2" pivot="0" name="2026-style 17">
      <tableStyleElement dxfId="2" type="firstRowStripe"/>
      <tableStyleElement dxfId="3" type="secondRowStripe"/>
    </tableStyle>
    <tableStyle count="2" pivot="0" name="2026-style 18">
      <tableStyleElement dxfId="2" type="firstRowStripe"/>
      <tableStyleElement dxfId="3" type="secondRowStripe"/>
    </tableStyle>
    <tableStyle count="2" pivot="0" name="2026-style 19">
      <tableStyleElement dxfId="2" type="firstRowStripe"/>
      <tableStyleElement dxfId="3" type="secondRowStripe"/>
    </tableStyle>
    <tableStyle count="2" pivot="0" name="2026-style 20">
      <tableStyleElement dxfId="2" type="firstRowStripe"/>
      <tableStyleElement dxfId="3" type="secondRowStripe"/>
    </tableStyle>
    <tableStyle count="2" pivot="0" name="2026-style 21">
      <tableStyleElement dxfId="2" type="firstRowStripe"/>
      <tableStyleElement dxfId="3" type="secondRowStripe"/>
    </tableStyle>
    <tableStyle count="2" pivot="0" name="2026-style 22">
      <tableStyleElement dxfId="2" type="firstRowStripe"/>
      <tableStyleElement dxfId="3" type="secondRowStripe"/>
    </tableStyle>
    <tableStyle count="2" pivot="0" name="2026-style 23">
      <tableStyleElement dxfId="2" type="firstRowStripe"/>
      <tableStyleElement dxfId="3" type="secondRowStripe"/>
    </tableStyle>
    <tableStyle count="2" pivot="0" name="2026-style 24">
      <tableStyleElement dxfId="2" type="firstRowStripe"/>
      <tableStyleElement dxfId="3" type="secondRowStripe"/>
    </tableStyle>
    <tableStyle count="2" pivot="0" name="2026-style 25">
      <tableStyleElement dxfId="2" type="firstRowStripe"/>
      <tableStyleElement dxfId="3" type="secondRowStripe"/>
    </tableStyle>
    <tableStyle count="2" pivot="0" name="2026-style 26">
      <tableStyleElement dxfId="2" type="firstRowStripe"/>
      <tableStyleElement dxfId="3" type="secondRowStripe"/>
    </tableStyle>
    <tableStyle count="2" pivot="0" name="2026-style 27">
      <tableStyleElement dxfId="2" type="firstRowStripe"/>
      <tableStyleElement dxfId="3" type="secondRowStripe"/>
    </tableStyle>
    <tableStyle count="2" pivot="0" name="2026-style 28">
      <tableStyleElement dxfId="2" type="firstRowStripe"/>
      <tableStyleElement dxfId="3" type="secondRowStripe"/>
    </tableStyle>
    <tableStyle count="2" pivot="0" name="2026-style 29">
      <tableStyleElement dxfId="2" type="firstRowStripe"/>
      <tableStyleElement dxfId="3" type="secondRowStripe"/>
    </tableStyle>
    <tableStyle count="2" pivot="0" name="2026-style 30">
      <tableStyleElement dxfId="2" type="firstRowStripe"/>
      <tableStyleElement dxfId="3" type="secondRowStripe"/>
    </tableStyle>
    <tableStyle count="2" pivot="0" name="2026-style 31">
      <tableStyleElement dxfId="2" type="firstRowStripe"/>
      <tableStyleElement dxfId="3" type="secondRowStripe"/>
    </tableStyle>
    <tableStyle count="2" pivot="0" name="2026-style 32">
      <tableStyleElement dxfId="2" type="firstRowStripe"/>
      <tableStyleElement dxfId="3" type="secondRowStripe"/>
    </tableStyle>
    <tableStyle count="2" pivot="0" name="2026-style 33">
      <tableStyleElement dxfId="2" type="firstRowStripe"/>
      <tableStyleElement dxfId="3" type="secondRowStripe"/>
    </tableStyle>
    <tableStyle count="2" pivot="0" name="2026-style 3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4:C26" displayName="Table_1" name="Table_1" id="1">
  <tableColumns count="1">
    <tableColumn name="Column1" id="1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I24:I26" displayName="Table_2" name="Table_2" id="2">
  <tableColumns count="1">
    <tableColumn name="Column1" id="1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4:O26" displayName="Table_3" name="Table_3" id="3">
  <tableColumns count="1">
    <tableColumn name="Column1" id="1"/>
  </tableColumns>
  <tableStyleInfo name="2025-style 3" showColumnStripes="0" showFirstColumn="1" showLastColumn="1" showRowStripes="1"/>
</table>
</file>

<file path=xl/tables/table4.xml><?xml version="1.0" encoding="utf-8"?>
<table xmlns="http://schemas.openxmlformats.org/spreadsheetml/2006/main" headerRowCount="0" ref="U24:U26" displayName="Table_4" name="Table_4" id="4">
  <tableColumns count="1">
    <tableColumn name="Column1" id="1"/>
  </tableColumns>
  <tableStyleInfo name="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AA24:AA26" displayName="Table_5" name="Table_5" id="5">
  <tableColumns count="1">
    <tableColumn name="Column1" id="1"/>
  </tableColumns>
  <tableStyleInfo name="2025-style 5" showColumnStripes="0" showFirstColumn="1" showLastColumn="1" showRowStripes="1"/>
</table>
</file>

<file path=xl/tables/table6.xml><?xml version="1.0" encoding="utf-8"?>
<table xmlns="http://schemas.openxmlformats.org/spreadsheetml/2006/main" headerRowCount="0" ref="AG24:AG26" displayName="Table_6" name="Table_6" id="6">
  <tableColumns count="1">
    <tableColumn name="Column1" id="1"/>
  </tableColumns>
  <tableStyleInfo name="2025-style 6" showColumnStripes="0" showFirstColumn="1" showLastColumn="1" showRowStripes="1"/>
</table>
</file>

<file path=xl/tables/table7.xml><?xml version="1.0" encoding="utf-8"?>
<table xmlns="http://schemas.openxmlformats.org/spreadsheetml/2006/main" headerRowCount="0" ref="AM24:AN26" displayName="Table_7" name="Table_7" id="7">
  <tableColumns count="2">
    <tableColumn name="Column1" id="1"/>
    <tableColumn name="Column2" id="2"/>
  </tableColumns>
  <tableStyleInfo name="2025-style 7" showColumnStripes="0" showFirstColumn="1" showLastColumn="1" showRowStripes="1"/>
</table>
</file>

<file path=xl/tables/table8.xml><?xml version="1.0" encoding="utf-8"?>
<table xmlns="http://schemas.openxmlformats.org/spreadsheetml/2006/main" headerRowCount="0" ref="AS24:AT26" displayName="Table_8" name="Table_8" id="8">
  <tableColumns count="2">
    <tableColumn name="Column1" id="1"/>
    <tableColumn name="Column2" id="2"/>
  </tableColumns>
  <tableStyleInfo name="2025-style 8" showColumnStripes="0" showFirstColumn="1" showLastColumn="1" showRowStripes="1"/>
</table>
</file>

<file path=xl/tables/table9.xml><?xml version="1.0" encoding="utf-8"?>
<table xmlns="http://schemas.openxmlformats.org/spreadsheetml/2006/main" headerRowCount="0" ref="AY24:AZ26" displayName="Table_9" name="Table_9" id="9">
  <tableColumns count="2">
    <tableColumn name="Column1" id="1"/>
    <tableColumn name="Column2" id="2"/>
  </tableColumns>
  <tableStyleInfo name="2025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E24:BF26" displayName="Table_10" name="Table_10" id="10">
  <tableColumns count="2">
    <tableColumn name="Column1" id="1"/>
    <tableColumn name="Column2" id="2"/>
  </tableColumns>
  <tableStyleInfo name="2025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K24:BL27" displayName="Table_11" name="Table_11" id="11">
  <tableColumns count="2">
    <tableColumn name="Column1" id="1"/>
    <tableColumn name="Column2" id="2"/>
  </tableColumns>
  <tableStyleInfo name="2025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Q24:BR27" displayName="Table_12" name="Table_12" id="12">
  <tableColumns count="2">
    <tableColumn name="Column1" id="1"/>
    <tableColumn name="Column2" id="2"/>
  </tableColumns>
  <tableStyleInfo name="2025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C25" displayName="Table_13" name="Table_13" id="13">
  <tableColumns count="1">
    <tableColumn name="Column1" id="1"/>
  </tableColumns>
  <tableStyleInfo name="2025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C26" displayName="Table_14" name="Table_14" id="14">
  <tableColumns count="1">
    <tableColumn name="Column1" id="1"/>
  </tableColumns>
  <tableStyleInfo name="2025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C27" displayName="Table_15" name="Table_15" id="15">
  <tableColumns count="1">
    <tableColumn name="Column1" id="1"/>
  </tableColumns>
  <tableStyleInfo name="2025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C28" displayName="Table_16" name="Table_16" id="16">
  <tableColumns count="1">
    <tableColumn name="Column1" id="1"/>
  </tableColumns>
  <tableStyleInfo name="2025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C29" displayName="Table_17" name="Table_17" id="17">
  <tableColumns count="1">
    <tableColumn name="Column1" id="1"/>
  </tableColumns>
  <tableStyleInfo name="2025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33" displayName="Table_18" name="Table_18" id="18">
  <tableColumns count="1">
    <tableColumn name="Column1" id="1"/>
  </tableColumns>
  <tableStyleInfo name="2025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I33" displayName="Table_19" name="Table_19" id="19">
  <tableColumns count="1">
    <tableColumn name="Column1" id="1"/>
  </tableColumns>
  <tableStyleInfo name="2025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O33" displayName="Table_20" name="Table_20" id="20">
  <tableColumns count="1">
    <tableColumn name="Column1" id="1"/>
  </tableColumns>
  <tableStyleInfo name="2025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U33" displayName="Table_21" name="Table_21" id="21">
  <tableColumns count="1">
    <tableColumn name="Column1" id="1"/>
  </tableColumns>
  <tableStyleInfo name="2025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A33" displayName="Table_22" name="Table_22" id="22">
  <tableColumns count="1">
    <tableColumn name="Column1" id="1"/>
  </tableColumns>
  <tableStyleInfo name="2025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G33:AH33" displayName="Table_23" name="Table_23" id="23">
  <tableColumns count="2">
    <tableColumn name="Column1" id="1"/>
    <tableColumn name="Column2" id="2"/>
  </tableColumns>
  <tableStyleInfo name="2025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M33:AN33" displayName="Table_24" name="Table_24" id="24">
  <tableColumns count="2">
    <tableColumn name="Column1" id="1"/>
    <tableColumn name="Column2" id="2"/>
  </tableColumns>
  <tableStyleInfo name="2025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S33:AT33" displayName="Table_25" name="Table_25" id="25">
  <tableColumns count="2">
    <tableColumn name="Column1" id="1"/>
    <tableColumn name="Column2" id="2"/>
  </tableColumns>
  <tableStyleInfo name="2025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Y33:AZ33" displayName="Table_26" name="Table_26" id="26">
  <tableColumns count="2">
    <tableColumn name="Column1" id="1"/>
    <tableColumn name="Column2" id="2"/>
  </tableColumns>
  <tableStyleInfo name="2025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E33:BF33" displayName="Table_27" name="Table_27" id="27">
  <tableColumns count="2">
    <tableColumn name="Column1" id="1"/>
    <tableColumn name="Column2" id="2"/>
  </tableColumns>
  <tableStyleInfo name="2025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K33:BL33" displayName="Table_28" name="Table_28" id="28">
  <tableColumns count="2">
    <tableColumn name="Column1" id="1"/>
    <tableColumn name="Column2" id="2"/>
  </tableColumns>
  <tableStyleInfo name="2025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Q33:BR33" displayName="Table_29" name="Table_29" id="29">
  <tableColumns count="2">
    <tableColumn name="Column1" id="1"/>
    <tableColumn name="Column2" id="2"/>
  </tableColumns>
  <tableStyleInfo name="2025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24:C26" displayName="Table_30" name="Table_30" id="30">
  <tableColumns count="1">
    <tableColumn name="Column1" id="1"/>
  </tableColumns>
  <tableStyleInfo name="2026-style" showColumnStripes="0" showFirstColumn="1" showLastColumn="1" showRowStripes="1"/>
</table>
</file>

<file path=xl/tables/table31.xml><?xml version="1.0" encoding="utf-8"?>
<table xmlns="http://schemas.openxmlformats.org/spreadsheetml/2006/main" headerRowCount="0" ref="D24:D27" displayName="Table_31" name="Table_31" id="31">
  <tableColumns count="1">
    <tableColumn name="Column1" id="1"/>
  </tableColumns>
  <tableStyleInfo name="2026-style 2" showColumnStripes="0" showFirstColumn="1" showLastColumn="1" showRowStripes="1"/>
</table>
</file>

<file path=xl/tables/table32.xml><?xml version="1.0" encoding="utf-8"?>
<table xmlns="http://schemas.openxmlformats.org/spreadsheetml/2006/main" headerRowCount="0" ref="I24:J26" displayName="Table_32" name="Table_32" id="32">
  <tableColumns count="2">
    <tableColumn name="Column1" id="1"/>
    <tableColumn name="Column2" id="2"/>
  </tableColumns>
  <tableStyleInfo name="2026-style 3" showColumnStripes="0" showFirstColumn="1" showLastColumn="1" showRowStripes="1"/>
</table>
</file>

<file path=xl/tables/table33.xml><?xml version="1.0" encoding="utf-8"?>
<table xmlns="http://schemas.openxmlformats.org/spreadsheetml/2006/main" headerRowCount="0" ref="O24:P26" displayName="Table_33" name="Table_33" id="33">
  <tableColumns count="2">
    <tableColumn name="Column1" id="1"/>
    <tableColumn name="Column2" id="2"/>
  </tableColumns>
  <tableStyleInfo name="2026-style 4" showColumnStripes="0" showFirstColumn="1" showLastColumn="1" showRowStripes="1"/>
</table>
</file>

<file path=xl/tables/table34.xml><?xml version="1.0" encoding="utf-8"?>
<table xmlns="http://schemas.openxmlformats.org/spreadsheetml/2006/main" headerRowCount="0" ref="U24:V26" displayName="Table_34" name="Table_34" id="34">
  <tableColumns count="2">
    <tableColumn name="Column1" id="1"/>
    <tableColumn name="Column2" id="2"/>
  </tableColumns>
  <tableStyleInfo name="2026-style 5" showColumnStripes="0" showFirstColumn="1" showLastColumn="1" showRowStripes="1"/>
</table>
</file>

<file path=xl/tables/table35.xml><?xml version="1.0" encoding="utf-8"?>
<table xmlns="http://schemas.openxmlformats.org/spreadsheetml/2006/main" headerRowCount="0" ref="AA24:AB26" displayName="Table_35" name="Table_35" id="35">
  <tableColumns count="2">
    <tableColumn name="Column1" id="1"/>
    <tableColumn name="Column2" id="2"/>
  </tableColumns>
  <tableStyleInfo name="2026-style 6" showColumnStripes="0" showFirstColumn="1" showLastColumn="1" showRowStripes="1"/>
</table>
</file>

<file path=xl/tables/table36.xml><?xml version="1.0" encoding="utf-8"?>
<table xmlns="http://schemas.openxmlformats.org/spreadsheetml/2006/main" headerRowCount="0" ref="AG24:AH26" displayName="Table_36" name="Table_36" id="36">
  <tableColumns count="2">
    <tableColumn name="Column1" id="1"/>
    <tableColumn name="Column2" id="2"/>
  </tableColumns>
  <tableStyleInfo name="2026-style 7" showColumnStripes="0" showFirstColumn="1" showLastColumn="1" showRowStripes="1"/>
</table>
</file>

<file path=xl/tables/table37.xml><?xml version="1.0" encoding="utf-8"?>
<table xmlns="http://schemas.openxmlformats.org/spreadsheetml/2006/main" headerRowCount="0" ref="AM24:AN26" displayName="Table_37" name="Table_37" id="37">
  <tableColumns count="2">
    <tableColumn name="Column1" id="1"/>
    <tableColumn name="Column2" id="2"/>
  </tableColumns>
  <tableStyleInfo name="2026-style 8" showColumnStripes="0" showFirstColumn="1" showLastColumn="1" showRowStripes="1"/>
</table>
</file>

<file path=xl/tables/table38.xml><?xml version="1.0" encoding="utf-8"?>
<table xmlns="http://schemas.openxmlformats.org/spreadsheetml/2006/main" headerRowCount="0" ref="AS24:AT26" displayName="Table_38" name="Table_38" id="38">
  <tableColumns count="2">
    <tableColumn name="Column1" id="1"/>
    <tableColumn name="Column2" id="2"/>
  </tableColumns>
  <tableStyleInfo name="2026-style 9" showColumnStripes="0" showFirstColumn="1" showLastColumn="1" showRowStripes="1"/>
</table>
</file>

<file path=xl/tables/table39.xml><?xml version="1.0" encoding="utf-8"?>
<table xmlns="http://schemas.openxmlformats.org/spreadsheetml/2006/main" headerRowCount="0" ref="AY24:AZ26" displayName="Table_39" name="Table_39" id="39">
  <tableColumns count="2">
    <tableColumn name="Column1" id="1"/>
    <tableColumn name="Column2" id="2"/>
  </tableColumns>
  <tableStyleInfo name="2026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BE24:BF26" displayName="Table_40" name="Table_40" id="40">
  <tableColumns count="2">
    <tableColumn name="Column1" id="1"/>
    <tableColumn name="Column2" id="2"/>
  </tableColumns>
  <tableStyleInfo name="2026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BK24:BL26" displayName="Table_41" name="Table_41" id="41">
  <tableColumns count="2">
    <tableColumn name="Column1" id="1"/>
    <tableColumn name="Column2" id="2"/>
  </tableColumns>
  <tableStyleInfo name="2026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BQ24:BR26" displayName="Table_42" name="Table_42" id="42">
  <tableColumns count="2">
    <tableColumn name="Column1" id="1"/>
    <tableColumn name="Column2" id="2"/>
  </tableColumns>
  <tableStyleInfo name="2026-style 13" showColumnStripes="0" showFirstColumn="1" showLastColumn="1" showRowStripes="1"/>
</table>
</file>

<file path=xl/tables/table43.xml><?xml version="1.0" encoding="utf-8"?>
<table xmlns="http://schemas.openxmlformats.org/spreadsheetml/2006/main" headerRowCount="0" ref="AC25" displayName="Table_43" name="Table_43" id="43">
  <tableColumns count="1">
    <tableColumn name="Column1" id="1"/>
  </tableColumns>
  <tableStyleInfo name="2026-style 14" showColumnStripes="0" showFirstColumn="1" showLastColumn="1" showRowStripes="1"/>
</table>
</file>

<file path=xl/tables/table44.xml><?xml version="1.0" encoding="utf-8"?>
<table xmlns="http://schemas.openxmlformats.org/spreadsheetml/2006/main" headerRowCount="0" ref="AC26" displayName="Table_44" name="Table_44" id="44">
  <tableColumns count="1">
    <tableColumn name="Column1" id="1"/>
  </tableColumns>
  <tableStyleInfo name="2026-style 15" showColumnStripes="0" showFirstColumn="1" showLastColumn="1" showRowStripes="1"/>
</table>
</file>

<file path=xl/tables/table45.xml><?xml version="1.0" encoding="utf-8"?>
<table xmlns="http://schemas.openxmlformats.org/spreadsheetml/2006/main" headerRowCount="0" ref="AC27" displayName="Table_45" name="Table_45" id="45">
  <tableColumns count="1">
    <tableColumn name="Column1" id="1"/>
  </tableColumns>
  <tableStyleInfo name="2026-style 16" showColumnStripes="0" showFirstColumn="1" showLastColumn="1" showRowStripes="1"/>
</table>
</file>

<file path=xl/tables/table46.xml><?xml version="1.0" encoding="utf-8"?>
<table xmlns="http://schemas.openxmlformats.org/spreadsheetml/2006/main" headerRowCount="0" ref="AC28" displayName="Table_46" name="Table_46" id="46">
  <tableColumns count="1">
    <tableColumn name="Column1" id="1"/>
  </tableColumns>
  <tableStyleInfo name="2026-style 17" showColumnStripes="0" showFirstColumn="1" showLastColumn="1" showRowStripes="1"/>
</table>
</file>

<file path=xl/tables/table47.xml><?xml version="1.0" encoding="utf-8"?>
<table xmlns="http://schemas.openxmlformats.org/spreadsheetml/2006/main" headerRowCount="0" ref="AC29" displayName="Table_47" name="Table_47" id="47">
  <tableColumns count="1">
    <tableColumn name="Column1" id="1"/>
  </tableColumns>
  <tableStyleInfo name="2026-style 18" showColumnStripes="0" showFirstColumn="1" showLastColumn="1" showRowStripes="1"/>
</table>
</file>

<file path=xl/tables/table48.xml><?xml version="1.0" encoding="utf-8"?>
<table xmlns="http://schemas.openxmlformats.org/spreadsheetml/2006/main" headerRowCount="0" ref="C33" displayName="Table_48" name="Table_48" id="48">
  <tableColumns count="1">
    <tableColumn name="Column1" id="1"/>
  </tableColumns>
  <tableStyleInfo name="2026-style 19" showColumnStripes="0" showFirstColumn="1" showLastColumn="1" showRowStripes="1"/>
</table>
</file>

<file path=xl/tables/table49.xml><?xml version="1.0" encoding="utf-8"?>
<table xmlns="http://schemas.openxmlformats.org/spreadsheetml/2006/main" headerRowCount="0" ref="D33" displayName="Table_49" name="Table_49" id="49">
  <tableColumns count="1">
    <tableColumn name="Column1" id="1"/>
  </tableColumns>
  <tableStyleInfo name="2026-style 20" showColumnStripes="0" showFirstColumn="1" showLastColumn="1" showRowStripes="1"/>
</table>
</file>

<file path=xl/tables/table50.xml><?xml version="1.0" encoding="utf-8"?>
<table xmlns="http://schemas.openxmlformats.org/spreadsheetml/2006/main" headerRowCount="0" ref="I33" displayName="Table_50" name="Table_50" id="50">
  <tableColumns count="1">
    <tableColumn name="Column1" id="1"/>
  </tableColumns>
  <tableStyleInfo name="2026-style 21" showColumnStripes="0" showFirstColumn="1" showLastColumn="1" showRowStripes="1"/>
</table>
</file>

<file path=xl/tables/table51.xml><?xml version="1.0" encoding="utf-8"?>
<table xmlns="http://schemas.openxmlformats.org/spreadsheetml/2006/main" headerRowCount="0" ref="J33" displayName="Table_51" name="Table_51" id="51">
  <tableColumns count="1">
    <tableColumn name="Column1" id="1"/>
  </tableColumns>
  <tableStyleInfo name="2026-style 22" showColumnStripes="0" showFirstColumn="1" showLastColumn="1" showRowStripes="1"/>
</table>
</file>

<file path=xl/tables/table52.xml><?xml version="1.0" encoding="utf-8"?>
<table xmlns="http://schemas.openxmlformats.org/spreadsheetml/2006/main" headerRowCount="0" ref="O33" displayName="Table_52" name="Table_52" id="52">
  <tableColumns count="1">
    <tableColumn name="Column1" id="1"/>
  </tableColumns>
  <tableStyleInfo name="2026-style 23" showColumnStripes="0" showFirstColumn="1" showLastColumn="1" showRowStripes="1"/>
</table>
</file>

<file path=xl/tables/table53.xml><?xml version="1.0" encoding="utf-8"?>
<table xmlns="http://schemas.openxmlformats.org/spreadsheetml/2006/main" headerRowCount="0" ref="P33" displayName="Table_53" name="Table_53" id="53">
  <tableColumns count="1">
    <tableColumn name="Column1" id="1"/>
  </tableColumns>
  <tableStyleInfo name="2026-style 24" showColumnStripes="0" showFirstColumn="1" showLastColumn="1" showRowStripes="1"/>
</table>
</file>

<file path=xl/tables/table54.xml><?xml version="1.0" encoding="utf-8"?>
<table xmlns="http://schemas.openxmlformats.org/spreadsheetml/2006/main" headerRowCount="0" ref="U33" displayName="Table_54" name="Table_54" id="54">
  <tableColumns count="1">
    <tableColumn name="Column1" id="1"/>
  </tableColumns>
  <tableStyleInfo name="2026-style 25" showColumnStripes="0" showFirstColumn="1" showLastColumn="1" showRowStripes="1"/>
</table>
</file>

<file path=xl/tables/table55.xml><?xml version="1.0" encoding="utf-8"?>
<table xmlns="http://schemas.openxmlformats.org/spreadsheetml/2006/main" headerRowCount="0" ref="V33" displayName="Table_55" name="Table_55" id="55">
  <tableColumns count="1">
    <tableColumn name="Column1" id="1"/>
  </tableColumns>
  <tableStyleInfo name="2026-style 26" showColumnStripes="0" showFirstColumn="1" showLastColumn="1" showRowStripes="1"/>
</table>
</file>

<file path=xl/tables/table56.xml><?xml version="1.0" encoding="utf-8"?>
<table xmlns="http://schemas.openxmlformats.org/spreadsheetml/2006/main" headerRowCount="0" ref="AA33:AB33" displayName="Table_56" name="Table_56" id="56">
  <tableColumns count="2">
    <tableColumn name="Column1" id="1"/>
    <tableColumn name="Column2" id="2"/>
  </tableColumns>
  <tableStyleInfo name="2026-style 27" showColumnStripes="0" showFirstColumn="1" showLastColumn="1" showRowStripes="1"/>
</table>
</file>

<file path=xl/tables/table57.xml><?xml version="1.0" encoding="utf-8"?>
<table xmlns="http://schemas.openxmlformats.org/spreadsheetml/2006/main" headerRowCount="0" ref="AG33:AH33" displayName="Table_57" name="Table_57" id="57">
  <tableColumns count="2">
    <tableColumn name="Column1" id="1"/>
    <tableColumn name="Column2" id="2"/>
  </tableColumns>
  <tableStyleInfo name="2026-style 28" showColumnStripes="0" showFirstColumn="1" showLastColumn="1" showRowStripes="1"/>
</table>
</file>

<file path=xl/tables/table58.xml><?xml version="1.0" encoding="utf-8"?>
<table xmlns="http://schemas.openxmlformats.org/spreadsheetml/2006/main" headerRowCount="0" ref="AM33:AN33" displayName="Table_58" name="Table_58" id="58">
  <tableColumns count="2">
    <tableColumn name="Column1" id="1"/>
    <tableColumn name="Column2" id="2"/>
  </tableColumns>
  <tableStyleInfo name="2026-style 29" showColumnStripes="0" showFirstColumn="1" showLastColumn="1" showRowStripes="1"/>
</table>
</file>

<file path=xl/tables/table59.xml><?xml version="1.0" encoding="utf-8"?>
<table xmlns="http://schemas.openxmlformats.org/spreadsheetml/2006/main" headerRowCount="0" ref="AS33:AT33" displayName="Table_59" name="Table_59" id="59">
  <tableColumns count="2">
    <tableColumn name="Column1" id="1"/>
    <tableColumn name="Column2" id="2"/>
  </tableColumns>
  <tableStyleInfo name="2026-style 30" showColumnStripes="0" showFirstColumn="1" showLastColumn="1" showRowStripes="1"/>
</table>
</file>

<file path=xl/tables/table60.xml><?xml version="1.0" encoding="utf-8"?>
<table xmlns="http://schemas.openxmlformats.org/spreadsheetml/2006/main" headerRowCount="0" ref="AY33:AZ33" displayName="Table_60" name="Table_60" id="60">
  <tableColumns count="2">
    <tableColumn name="Column1" id="1"/>
    <tableColumn name="Column2" id="2"/>
  </tableColumns>
  <tableStyleInfo name="2026-style 31" showColumnStripes="0" showFirstColumn="1" showLastColumn="1" showRowStripes="1"/>
</table>
</file>

<file path=xl/tables/table61.xml><?xml version="1.0" encoding="utf-8"?>
<table xmlns="http://schemas.openxmlformats.org/spreadsheetml/2006/main" headerRowCount="0" ref="BE33:BF33" displayName="Table_61" name="Table_61" id="61">
  <tableColumns count="2">
    <tableColumn name="Column1" id="1"/>
    <tableColumn name="Column2" id="2"/>
  </tableColumns>
  <tableStyleInfo name="2026-style 32" showColumnStripes="0" showFirstColumn="1" showLastColumn="1" showRowStripes="1"/>
</table>
</file>

<file path=xl/tables/table62.xml><?xml version="1.0" encoding="utf-8"?>
<table xmlns="http://schemas.openxmlformats.org/spreadsheetml/2006/main" headerRowCount="0" ref="BK33:BL33" displayName="Table_62" name="Table_62" id="62">
  <tableColumns count="2">
    <tableColumn name="Column1" id="1"/>
    <tableColumn name="Column2" id="2"/>
  </tableColumns>
  <tableStyleInfo name="2026-style 33" showColumnStripes="0" showFirstColumn="1" showLastColumn="1" showRowStripes="1"/>
</table>
</file>

<file path=xl/tables/table63.xml><?xml version="1.0" encoding="utf-8"?>
<table xmlns="http://schemas.openxmlformats.org/spreadsheetml/2006/main" headerRowCount="0" ref="BQ33:BR33" displayName="Table_63" name="Table_63" id="63">
  <tableColumns count="2">
    <tableColumn name="Column1" id="1"/>
    <tableColumn name="Column2" id="2"/>
  </tableColumns>
  <tableStyleInfo name="2026-style 3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.xml"/><Relationship Id="rId61" Type="http://schemas.openxmlformats.org/officeDocument/2006/relationships/table" Target="../tables/table29.xml"/><Relationship Id="rId42" Type="http://schemas.openxmlformats.org/officeDocument/2006/relationships/table" Target="../tables/table10.xml"/><Relationship Id="rId41" Type="http://schemas.openxmlformats.org/officeDocument/2006/relationships/table" Target="../tables/table9.xml"/><Relationship Id="rId44" Type="http://schemas.openxmlformats.org/officeDocument/2006/relationships/table" Target="../tables/table12.xml"/><Relationship Id="rId43" Type="http://schemas.openxmlformats.org/officeDocument/2006/relationships/table" Target="../tables/table11.xml"/><Relationship Id="rId46" Type="http://schemas.openxmlformats.org/officeDocument/2006/relationships/table" Target="../tables/table14.xml"/><Relationship Id="rId45" Type="http://schemas.openxmlformats.org/officeDocument/2006/relationships/table" Target="../tables/table13.xml"/><Relationship Id="rId60" Type="http://schemas.openxmlformats.org/officeDocument/2006/relationships/table" Target="../tables/table28.xml"/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8" Type="http://schemas.openxmlformats.org/officeDocument/2006/relationships/table" Target="../tables/table16.xml"/><Relationship Id="rId47" Type="http://schemas.openxmlformats.org/officeDocument/2006/relationships/table" Target="../tables/table15.xml"/><Relationship Id="rId49" Type="http://schemas.openxmlformats.org/officeDocument/2006/relationships/table" Target="../tables/table17.xml"/><Relationship Id="rId51" Type="http://schemas.openxmlformats.org/officeDocument/2006/relationships/table" Target="../tables/table19.xml"/><Relationship Id="rId50" Type="http://schemas.openxmlformats.org/officeDocument/2006/relationships/table" Target="../tables/table18.xml"/><Relationship Id="rId53" Type="http://schemas.openxmlformats.org/officeDocument/2006/relationships/table" Target="../tables/table21.xml"/><Relationship Id="rId52" Type="http://schemas.openxmlformats.org/officeDocument/2006/relationships/table" Target="../tables/table20.xml"/><Relationship Id="rId33" Type="http://schemas.openxmlformats.org/officeDocument/2006/relationships/table" Target="../tables/table1.xml"/><Relationship Id="rId55" Type="http://schemas.openxmlformats.org/officeDocument/2006/relationships/table" Target="../tables/table23.xml"/><Relationship Id="rId54" Type="http://schemas.openxmlformats.org/officeDocument/2006/relationships/table" Target="../tables/table22.xml"/><Relationship Id="rId35" Type="http://schemas.openxmlformats.org/officeDocument/2006/relationships/table" Target="../tables/table3.xml"/><Relationship Id="rId57" Type="http://schemas.openxmlformats.org/officeDocument/2006/relationships/table" Target="../tables/table25.xml"/><Relationship Id="rId34" Type="http://schemas.openxmlformats.org/officeDocument/2006/relationships/table" Target="../tables/table2.xml"/><Relationship Id="rId56" Type="http://schemas.openxmlformats.org/officeDocument/2006/relationships/table" Target="../tables/table24.xml"/><Relationship Id="rId37" Type="http://schemas.openxmlformats.org/officeDocument/2006/relationships/table" Target="../tables/table5.xml"/><Relationship Id="rId59" Type="http://schemas.openxmlformats.org/officeDocument/2006/relationships/table" Target="../tables/table27.xml"/><Relationship Id="rId36" Type="http://schemas.openxmlformats.org/officeDocument/2006/relationships/table" Target="../tables/table4.xml"/><Relationship Id="rId58" Type="http://schemas.openxmlformats.org/officeDocument/2006/relationships/table" Target="../tables/table26.xml"/><Relationship Id="rId39" Type="http://schemas.openxmlformats.org/officeDocument/2006/relationships/table" Target="../tables/table7.xml"/><Relationship Id="rId3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2.xml"/><Relationship Id="rId62" Type="http://schemas.openxmlformats.org/officeDocument/2006/relationships/table" Target="../tables/table54.xml"/><Relationship Id="rId61" Type="http://schemas.openxmlformats.org/officeDocument/2006/relationships/table" Target="../tables/table53.xml"/><Relationship Id="rId42" Type="http://schemas.openxmlformats.org/officeDocument/2006/relationships/table" Target="../tables/table34.xml"/><Relationship Id="rId64" Type="http://schemas.openxmlformats.org/officeDocument/2006/relationships/table" Target="../tables/table56.xml"/><Relationship Id="rId41" Type="http://schemas.openxmlformats.org/officeDocument/2006/relationships/table" Target="../tables/table33.xml"/><Relationship Id="rId63" Type="http://schemas.openxmlformats.org/officeDocument/2006/relationships/table" Target="../tables/table55.xml"/><Relationship Id="rId44" Type="http://schemas.openxmlformats.org/officeDocument/2006/relationships/table" Target="../tables/table36.xml"/><Relationship Id="rId66" Type="http://schemas.openxmlformats.org/officeDocument/2006/relationships/table" Target="../tables/table58.xml"/><Relationship Id="rId43" Type="http://schemas.openxmlformats.org/officeDocument/2006/relationships/table" Target="../tables/table35.xml"/><Relationship Id="rId65" Type="http://schemas.openxmlformats.org/officeDocument/2006/relationships/table" Target="../tables/table57.xml"/><Relationship Id="rId46" Type="http://schemas.openxmlformats.org/officeDocument/2006/relationships/table" Target="../tables/table38.xml"/><Relationship Id="rId68" Type="http://schemas.openxmlformats.org/officeDocument/2006/relationships/table" Target="../tables/table60.xml"/><Relationship Id="rId45" Type="http://schemas.openxmlformats.org/officeDocument/2006/relationships/table" Target="../tables/table37.xml"/><Relationship Id="rId67" Type="http://schemas.openxmlformats.org/officeDocument/2006/relationships/table" Target="../tables/table59.xml"/><Relationship Id="rId60" Type="http://schemas.openxmlformats.org/officeDocument/2006/relationships/table" Target="../tables/table52.xml"/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48" Type="http://schemas.openxmlformats.org/officeDocument/2006/relationships/table" Target="../tables/table40.xml"/><Relationship Id="rId47" Type="http://schemas.openxmlformats.org/officeDocument/2006/relationships/table" Target="../tables/table39.xml"/><Relationship Id="rId69" Type="http://schemas.openxmlformats.org/officeDocument/2006/relationships/table" Target="../tables/table61.xml"/><Relationship Id="rId49" Type="http://schemas.openxmlformats.org/officeDocument/2006/relationships/table" Target="../tables/table41.xml"/><Relationship Id="rId51" Type="http://schemas.openxmlformats.org/officeDocument/2006/relationships/table" Target="../tables/table43.xml"/><Relationship Id="rId50" Type="http://schemas.openxmlformats.org/officeDocument/2006/relationships/table" Target="../tables/table42.xml"/><Relationship Id="rId53" Type="http://schemas.openxmlformats.org/officeDocument/2006/relationships/table" Target="../tables/table45.xml"/><Relationship Id="rId52" Type="http://schemas.openxmlformats.org/officeDocument/2006/relationships/table" Target="../tables/table44.xml"/><Relationship Id="rId55" Type="http://schemas.openxmlformats.org/officeDocument/2006/relationships/table" Target="../tables/table47.xml"/><Relationship Id="rId54" Type="http://schemas.openxmlformats.org/officeDocument/2006/relationships/table" Target="../tables/table46.xml"/><Relationship Id="rId57" Type="http://schemas.openxmlformats.org/officeDocument/2006/relationships/table" Target="../tables/table49.xml"/><Relationship Id="rId56" Type="http://schemas.openxmlformats.org/officeDocument/2006/relationships/table" Target="../tables/table48.xml"/><Relationship Id="rId71" Type="http://schemas.openxmlformats.org/officeDocument/2006/relationships/table" Target="../tables/table63.xml"/><Relationship Id="rId70" Type="http://schemas.openxmlformats.org/officeDocument/2006/relationships/table" Target="../tables/table62.xml"/><Relationship Id="rId59" Type="http://schemas.openxmlformats.org/officeDocument/2006/relationships/table" Target="../tables/table51.xml"/><Relationship Id="rId58" Type="http://schemas.openxmlformats.org/officeDocument/2006/relationships/table" Target="../tables/table50.xml"/><Relationship Id="rId39" Type="http://schemas.openxmlformats.org/officeDocument/2006/relationships/table" Target="../tables/table31.xml"/><Relationship Id="rId38" Type="http://schemas.openxmlformats.org/officeDocument/2006/relationships/table" Target="../tables/table3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.0"/>
    <col customWidth="1" min="12" max="12" width="3.0"/>
    <col customWidth="1" min="18" max="18" width="3.0"/>
    <col customWidth="1" min="24" max="24" width="3.0"/>
    <col customWidth="1" min="30" max="30" width="3.0"/>
    <col customWidth="1" min="36" max="36" width="3.0"/>
    <col customWidth="1" min="42" max="42" width="3.0"/>
    <col customWidth="1" min="48" max="48" width="3.0"/>
    <col customWidth="1" min="54" max="54" width="3.0"/>
    <col customWidth="1" min="60" max="60" width="3.0"/>
    <col customWidth="1" min="66" max="66" width="3.0"/>
  </cols>
  <sheetData>
    <row r="1">
      <c r="A1" s="1" t="s">
        <v>0</v>
      </c>
      <c r="F1" s="2"/>
      <c r="G1" s="1" t="s">
        <v>1</v>
      </c>
      <c r="L1" s="2"/>
      <c r="M1" s="1" t="s">
        <v>2</v>
      </c>
      <c r="R1" s="2"/>
      <c r="S1" s="1" t="s">
        <v>3</v>
      </c>
      <c r="X1" s="2"/>
      <c r="Y1" s="1" t="s">
        <v>4</v>
      </c>
      <c r="AD1" s="2"/>
      <c r="AE1" s="1" t="s">
        <v>5</v>
      </c>
      <c r="AJ1" s="2"/>
      <c r="AK1" s="1" t="s">
        <v>6</v>
      </c>
      <c r="AP1" s="2"/>
      <c r="AQ1" s="1" t="s">
        <v>7</v>
      </c>
      <c r="AV1" s="2"/>
      <c r="AW1" s="1" t="s">
        <v>8</v>
      </c>
      <c r="BB1" s="2"/>
      <c r="BC1" s="1" t="s">
        <v>9</v>
      </c>
      <c r="BH1" s="2"/>
      <c r="BI1" s="1" t="s">
        <v>10</v>
      </c>
      <c r="BN1" s="2"/>
      <c r="BO1" s="1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"/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2"/>
      <c r="M2" s="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2"/>
      <c r="S2" s="3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2"/>
      <c r="Y2" s="3" t="s">
        <v>12</v>
      </c>
      <c r="Z2" s="4" t="s">
        <v>13</v>
      </c>
      <c r="AA2" s="4" t="s">
        <v>14</v>
      </c>
      <c r="AB2" s="4" t="s">
        <v>15</v>
      </c>
      <c r="AC2" s="4" t="s">
        <v>16</v>
      </c>
      <c r="AD2" s="2"/>
      <c r="AE2" s="3" t="s">
        <v>12</v>
      </c>
      <c r="AF2" s="4" t="s">
        <v>13</v>
      </c>
      <c r="AG2" s="4" t="s">
        <v>14</v>
      </c>
      <c r="AH2" s="4" t="s">
        <v>15</v>
      </c>
      <c r="AI2" s="4" t="s">
        <v>16</v>
      </c>
      <c r="AJ2" s="2"/>
      <c r="AK2" s="3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2"/>
      <c r="AQ2" s="3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2"/>
      <c r="AW2" s="3" t="s">
        <v>12</v>
      </c>
      <c r="AX2" s="4" t="s">
        <v>13</v>
      </c>
      <c r="AY2" s="4" t="s">
        <v>14</v>
      </c>
      <c r="AZ2" s="4" t="s">
        <v>15</v>
      </c>
      <c r="BA2" s="4" t="s">
        <v>16</v>
      </c>
      <c r="BB2" s="2"/>
      <c r="BC2" s="3" t="s">
        <v>12</v>
      </c>
      <c r="BD2" s="4" t="s">
        <v>13</v>
      </c>
      <c r="BE2" s="4" t="s">
        <v>14</v>
      </c>
      <c r="BF2" s="4" t="s">
        <v>15</v>
      </c>
      <c r="BG2" s="4" t="s">
        <v>16</v>
      </c>
      <c r="BH2" s="2"/>
      <c r="BI2" s="3" t="s">
        <v>12</v>
      </c>
      <c r="BJ2" s="4" t="s">
        <v>13</v>
      </c>
      <c r="BK2" s="4" t="s">
        <v>14</v>
      </c>
      <c r="BL2" s="4" t="s">
        <v>15</v>
      </c>
      <c r="BM2" s="4" t="s">
        <v>16</v>
      </c>
      <c r="BN2" s="2"/>
      <c r="BO2" s="3" t="s">
        <v>12</v>
      </c>
      <c r="BP2" s="4" t="s">
        <v>13</v>
      </c>
      <c r="BQ2" s="4" t="s">
        <v>14</v>
      </c>
      <c r="BR2" s="4" t="s">
        <v>15</v>
      </c>
      <c r="BS2" s="4" t="s">
        <v>16</v>
      </c>
    </row>
    <row r="3">
      <c r="A3" s="5">
        <v>1.0</v>
      </c>
      <c r="B3" s="6"/>
      <c r="C3" s="6"/>
      <c r="D3" s="6"/>
      <c r="E3" s="2">
        <f>(B3)-(C3+D3)</f>
        <v>0</v>
      </c>
      <c r="F3" s="2"/>
      <c r="G3" s="5">
        <v>1.0</v>
      </c>
      <c r="H3" s="7"/>
      <c r="I3" s="7"/>
      <c r="J3" s="7"/>
      <c r="K3" s="8">
        <f>(E33)+(H3)-(I3+J3)</f>
        <v>0</v>
      </c>
      <c r="L3" s="2"/>
      <c r="M3" s="5">
        <v>1.0</v>
      </c>
      <c r="N3" s="7"/>
      <c r="O3" s="7"/>
      <c r="P3" s="7"/>
      <c r="Q3" s="8">
        <f>(K33)+(N3)-(O3+P3)</f>
        <v>0</v>
      </c>
      <c r="R3" s="2"/>
      <c r="S3" s="5">
        <v>1.0</v>
      </c>
      <c r="T3" s="7"/>
      <c r="U3" s="7"/>
      <c r="V3" s="7"/>
      <c r="W3" s="8">
        <f>(Q33)+(T3)-(U3+V3)</f>
        <v>0</v>
      </c>
      <c r="X3" s="2"/>
      <c r="Y3" s="5">
        <v>1.0</v>
      </c>
      <c r="Z3" s="7"/>
      <c r="AA3" s="7"/>
      <c r="AB3" s="7"/>
      <c r="AC3" s="8">
        <f>(W33)+(Z3)-(AA3+AB3)</f>
        <v>0</v>
      </c>
      <c r="AD3" s="2"/>
      <c r="AE3" s="5">
        <v>1.0</v>
      </c>
      <c r="AF3" s="7"/>
      <c r="AG3" s="7"/>
      <c r="AH3" s="7"/>
      <c r="AI3" s="8">
        <f>(AC33)+(AF3)-(AG3+AH3)</f>
        <v>0</v>
      </c>
      <c r="AJ3" s="2"/>
      <c r="AK3" s="5">
        <v>1.0</v>
      </c>
      <c r="AL3" s="7"/>
      <c r="AM3" s="7"/>
      <c r="AN3" s="7"/>
      <c r="AO3" s="8">
        <f>(AI33)+(AL3)-(AM3+AN3)</f>
        <v>0</v>
      </c>
      <c r="AP3" s="2"/>
      <c r="AQ3" s="5">
        <v>1.0</v>
      </c>
      <c r="AR3" s="7"/>
      <c r="AS3" s="7"/>
      <c r="AT3" s="7"/>
      <c r="AU3" s="8">
        <f>(AO33)+(AR3)-(AS3+AT3)</f>
        <v>0</v>
      </c>
      <c r="AV3" s="2"/>
      <c r="AW3" s="5">
        <v>1.0</v>
      </c>
      <c r="AX3" s="7"/>
      <c r="AY3" s="7"/>
      <c r="AZ3" s="7"/>
      <c r="BA3" s="8">
        <f>(AU33)+(AX3)-(AY3+AZ3)</f>
        <v>0</v>
      </c>
      <c r="BB3" s="2"/>
      <c r="BC3" s="5">
        <v>1.0</v>
      </c>
      <c r="BD3" s="7"/>
      <c r="BE3" s="7"/>
      <c r="BF3" s="7"/>
      <c r="BG3" s="8">
        <f>(BA33)+(BD3)-(BE3+BF3)</f>
        <v>0</v>
      </c>
      <c r="BH3" s="2"/>
      <c r="BI3" s="5">
        <v>1.0</v>
      </c>
      <c r="BJ3" s="7"/>
      <c r="BK3" s="7"/>
      <c r="BL3" s="7"/>
      <c r="BM3" s="8">
        <f>(BG33)+(BJ3)-(BK3+BL3)</f>
        <v>0</v>
      </c>
      <c r="BN3" s="2"/>
      <c r="BO3" s="5">
        <v>1.0</v>
      </c>
      <c r="BP3" s="7">
        <f>266+270+200</f>
        <v>736</v>
      </c>
      <c r="BQ3" s="6">
        <f>450</f>
        <v>450</v>
      </c>
      <c r="BR3" s="6">
        <f>100+100+19.9+12+9.9+16.98+380+144.54+34.59+266+270+270</f>
        <v>1623.91</v>
      </c>
      <c r="BS3" s="8">
        <f>(BM33)+(BP3)-(BQ3+BR3)</f>
        <v>5152.14</v>
      </c>
    </row>
    <row r="4">
      <c r="A4" s="5">
        <v>2.0</v>
      </c>
      <c r="B4" s="7"/>
      <c r="C4" s="7"/>
      <c r="D4" s="7"/>
      <c r="E4" s="2">
        <f t="shared" ref="E4:E33" si="1">(E3)+(B4)-(C4+D4)</f>
        <v>0</v>
      </c>
      <c r="F4" s="2"/>
      <c r="G4" s="5">
        <v>2.0</v>
      </c>
      <c r="H4" s="7"/>
      <c r="I4" s="7"/>
      <c r="J4" s="7"/>
      <c r="K4" s="2">
        <f t="shared" ref="K4:K33" si="2">(K3)+(H4)-(I4+J4)</f>
        <v>0</v>
      </c>
      <c r="L4" s="2"/>
      <c r="M4" s="5">
        <v>2.0</v>
      </c>
      <c r="N4" s="7"/>
      <c r="O4" s="7"/>
      <c r="P4" s="7"/>
      <c r="Q4" s="2">
        <f t="shared" ref="Q4:Q33" si="3">(Q3)+(N4)-(O4+P4)</f>
        <v>0</v>
      </c>
      <c r="R4" s="2"/>
      <c r="S4" s="5">
        <v>2.0</v>
      </c>
      <c r="T4" s="7"/>
      <c r="U4" s="7"/>
      <c r="V4" s="7"/>
      <c r="W4" s="2">
        <f t="shared" ref="W4:W33" si="4">(W3)+(T4)-(U4+V4)</f>
        <v>0</v>
      </c>
      <c r="X4" s="2"/>
      <c r="Y4" s="5">
        <v>2.0</v>
      </c>
      <c r="Z4" s="7"/>
      <c r="AA4" s="7"/>
      <c r="AB4" s="7"/>
      <c r="AC4" s="2">
        <f t="shared" ref="AC4:AC33" si="5">(AC3)+(Z4)-(AA4+AB4)</f>
        <v>0</v>
      </c>
      <c r="AD4" s="2"/>
      <c r="AE4" s="5">
        <v>2.0</v>
      </c>
      <c r="AF4" s="7"/>
      <c r="AG4" s="7"/>
      <c r="AH4" s="7"/>
      <c r="AI4" s="2">
        <f t="shared" ref="AI4:AI33" si="6">(AI3)+(AF4)-(AG4+AH4)</f>
        <v>0</v>
      </c>
      <c r="AJ4" s="2"/>
      <c r="AK4" s="5">
        <v>2.0</v>
      </c>
      <c r="AL4" s="7"/>
      <c r="AM4" s="7"/>
      <c r="AN4" s="7"/>
      <c r="AO4" s="2">
        <f t="shared" ref="AO4:AO33" si="7">(AO3)+(AL4)-(AM4+AN4)</f>
        <v>0</v>
      </c>
      <c r="AP4" s="2"/>
      <c r="AQ4" s="5">
        <v>2.0</v>
      </c>
      <c r="AR4" s="7"/>
      <c r="AS4" s="7"/>
      <c r="AT4" s="7"/>
      <c r="AU4" s="2">
        <f t="shared" ref="AU4:AU33" si="8">(AU3)+(AR4)-(AS4+AT4)</f>
        <v>0</v>
      </c>
      <c r="AV4" s="2"/>
      <c r="AW4" s="5">
        <v>2.0</v>
      </c>
      <c r="AX4" s="7"/>
      <c r="AY4" s="7"/>
      <c r="AZ4" s="7"/>
      <c r="BA4" s="2">
        <f t="shared" ref="BA4:BA33" si="9">(BA3)+(AX4)-(AY4+AZ4)</f>
        <v>0</v>
      </c>
      <c r="BB4" s="2"/>
      <c r="BC4" s="5">
        <v>2.0</v>
      </c>
      <c r="BD4" s="7"/>
      <c r="BE4" s="7"/>
      <c r="BF4" s="7"/>
      <c r="BG4" s="2">
        <f t="shared" ref="BG4:BG33" si="10">(BG3)+(BD4)-(BE4+BF4)</f>
        <v>0</v>
      </c>
      <c r="BH4" s="2"/>
      <c r="BI4" s="5">
        <v>2.0</v>
      </c>
      <c r="BJ4" s="7"/>
      <c r="BK4" s="7"/>
      <c r="BL4" s="7"/>
      <c r="BM4" s="2">
        <f t="shared" ref="BM4:BM33" si="11">(BM3)+(BJ4)-(BK4+BL4)</f>
        <v>0</v>
      </c>
      <c r="BN4" s="2"/>
      <c r="BO4" s="5">
        <v>2.0</v>
      </c>
      <c r="BP4" s="7"/>
      <c r="BQ4" s="7"/>
      <c r="BR4" s="6">
        <f>9.5+17.5</f>
        <v>27</v>
      </c>
      <c r="BS4" s="2">
        <f t="shared" ref="BS4:BS33" si="12">(BS3)+(BP4)-(BQ4+BR4)</f>
        <v>5125.14</v>
      </c>
    </row>
    <row r="5">
      <c r="A5" s="5">
        <v>3.0</v>
      </c>
      <c r="B5" s="7"/>
      <c r="C5" s="7"/>
      <c r="D5" s="7"/>
      <c r="E5" s="2">
        <f t="shared" si="1"/>
        <v>0</v>
      </c>
      <c r="F5" s="2"/>
      <c r="G5" s="5">
        <v>3.0</v>
      </c>
      <c r="H5" s="7"/>
      <c r="I5" s="7"/>
      <c r="J5" s="7"/>
      <c r="K5" s="2">
        <f t="shared" si="2"/>
        <v>0</v>
      </c>
      <c r="L5" s="2"/>
      <c r="M5" s="5">
        <v>3.0</v>
      </c>
      <c r="N5" s="7"/>
      <c r="O5" s="7"/>
      <c r="P5" s="7"/>
      <c r="Q5" s="2">
        <f t="shared" si="3"/>
        <v>0</v>
      </c>
      <c r="R5" s="2"/>
      <c r="S5" s="5">
        <v>3.0</v>
      </c>
      <c r="T5" s="7"/>
      <c r="U5" s="7"/>
      <c r="V5" s="7"/>
      <c r="W5" s="2">
        <f t="shared" si="4"/>
        <v>0</v>
      </c>
      <c r="X5" s="2"/>
      <c r="Y5" s="5">
        <v>3.0</v>
      </c>
      <c r="Z5" s="7"/>
      <c r="AA5" s="7"/>
      <c r="AB5" s="7"/>
      <c r="AC5" s="2">
        <f t="shared" si="5"/>
        <v>0</v>
      </c>
      <c r="AD5" s="2"/>
      <c r="AE5" s="5">
        <v>3.0</v>
      </c>
      <c r="AF5" s="7"/>
      <c r="AG5" s="7"/>
      <c r="AH5" s="7"/>
      <c r="AI5" s="2">
        <f t="shared" si="6"/>
        <v>0</v>
      </c>
      <c r="AJ5" s="2"/>
      <c r="AK5" s="5">
        <v>3.0</v>
      </c>
      <c r="AL5" s="7"/>
      <c r="AM5" s="7"/>
      <c r="AN5" s="7"/>
      <c r="AO5" s="2">
        <f t="shared" si="7"/>
        <v>0</v>
      </c>
      <c r="AP5" s="2"/>
      <c r="AQ5" s="5">
        <v>3.0</v>
      </c>
      <c r="AR5" s="7"/>
      <c r="AS5" s="7"/>
      <c r="AT5" s="7"/>
      <c r="AU5" s="2">
        <f t="shared" si="8"/>
        <v>0</v>
      </c>
      <c r="AV5" s="2"/>
      <c r="AW5" s="5">
        <v>3.0</v>
      </c>
      <c r="AX5" s="7"/>
      <c r="AY5" s="7"/>
      <c r="AZ5" s="7"/>
      <c r="BA5" s="2">
        <f t="shared" si="9"/>
        <v>0</v>
      </c>
      <c r="BB5" s="2"/>
      <c r="BC5" s="5">
        <v>3.0</v>
      </c>
      <c r="BD5" s="7"/>
      <c r="BE5" s="7"/>
      <c r="BF5" s="7"/>
      <c r="BG5" s="2">
        <f t="shared" si="10"/>
        <v>0</v>
      </c>
      <c r="BH5" s="2"/>
      <c r="BI5" s="5">
        <v>3.0</v>
      </c>
      <c r="BJ5" s="7"/>
      <c r="BK5" s="7"/>
      <c r="BL5" s="7"/>
      <c r="BM5" s="2">
        <f t="shared" si="11"/>
        <v>0</v>
      </c>
      <c r="BN5" s="2"/>
      <c r="BO5" s="5">
        <v>3.0</v>
      </c>
      <c r="BP5" s="7"/>
      <c r="BQ5" s="7"/>
      <c r="BR5" s="6">
        <f>5+89</f>
        <v>94</v>
      </c>
      <c r="BS5" s="2">
        <f t="shared" si="12"/>
        <v>5031.14</v>
      </c>
    </row>
    <row r="6">
      <c r="A6" s="5">
        <v>4.0</v>
      </c>
      <c r="B6" s="7"/>
      <c r="C6" s="7"/>
      <c r="D6" s="7"/>
      <c r="E6" s="2">
        <f t="shared" si="1"/>
        <v>0</v>
      </c>
      <c r="F6" s="2"/>
      <c r="G6" s="5">
        <v>4.0</v>
      </c>
      <c r="H6" s="7"/>
      <c r="I6" s="7"/>
      <c r="J6" s="7"/>
      <c r="K6" s="2">
        <f t="shared" si="2"/>
        <v>0</v>
      </c>
      <c r="L6" s="2"/>
      <c r="M6" s="5">
        <v>4.0</v>
      </c>
      <c r="N6" s="7"/>
      <c r="O6" s="7"/>
      <c r="P6" s="7"/>
      <c r="Q6" s="2">
        <f t="shared" si="3"/>
        <v>0</v>
      </c>
      <c r="R6" s="2"/>
      <c r="S6" s="5">
        <v>4.0</v>
      </c>
      <c r="T6" s="7"/>
      <c r="U6" s="7"/>
      <c r="V6" s="7"/>
      <c r="W6" s="2">
        <f t="shared" si="4"/>
        <v>0</v>
      </c>
      <c r="X6" s="2"/>
      <c r="Y6" s="5">
        <v>4.0</v>
      </c>
      <c r="Z6" s="7"/>
      <c r="AA6" s="7"/>
      <c r="AB6" s="7"/>
      <c r="AC6" s="2">
        <f t="shared" si="5"/>
        <v>0</v>
      </c>
      <c r="AD6" s="2"/>
      <c r="AE6" s="5">
        <v>4.0</v>
      </c>
      <c r="AF6" s="7"/>
      <c r="AG6" s="7"/>
      <c r="AH6" s="7"/>
      <c r="AI6" s="2">
        <f t="shared" si="6"/>
        <v>0</v>
      </c>
      <c r="AJ6" s="2"/>
      <c r="AK6" s="5">
        <v>4.0</v>
      </c>
      <c r="AL6" s="7"/>
      <c r="AM6" s="7"/>
      <c r="AN6" s="7"/>
      <c r="AO6" s="2">
        <f t="shared" si="7"/>
        <v>0</v>
      </c>
      <c r="AP6" s="2"/>
      <c r="AQ6" s="5">
        <v>4.0</v>
      </c>
      <c r="AR6" s="7"/>
      <c r="AS6" s="7"/>
      <c r="AT6" s="7"/>
      <c r="AU6" s="2">
        <f t="shared" si="8"/>
        <v>0</v>
      </c>
      <c r="AV6" s="2"/>
      <c r="AW6" s="5">
        <v>4.0</v>
      </c>
      <c r="AX6" s="7"/>
      <c r="AY6" s="7"/>
      <c r="AZ6" s="7"/>
      <c r="BA6" s="2">
        <f t="shared" si="9"/>
        <v>0</v>
      </c>
      <c r="BB6" s="2"/>
      <c r="BC6" s="5">
        <v>4.0</v>
      </c>
      <c r="BD6" s="7"/>
      <c r="BE6" s="7"/>
      <c r="BF6" s="7"/>
      <c r="BG6" s="2">
        <f t="shared" si="10"/>
        <v>0</v>
      </c>
      <c r="BH6" s="2"/>
      <c r="BI6" s="5">
        <v>4.0</v>
      </c>
      <c r="BJ6" s="7"/>
      <c r="BK6" s="7"/>
      <c r="BL6" s="7"/>
      <c r="BM6" s="2">
        <f t="shared" si="11"/>
        <v>0</v>
      </c>
      <c r="BN6" s="2"/>
      <c r="BO6" s="5">
        <v>4.0</v>
      </c>
      <c r="BP6" s="7"/>
      <c r="BQ6" s="7"/>
      <c r="BR6" s="6">
        <f t="shared" ref="BR6:BR33" si="13">154.85</f>
        <v>154.85</v>
      </c>
      <c r="BS6" s="2">
        <f t="shared" si="12"/>
        <v>4876.29</v>
      </c>
    </row>
    <row r="7">
      <c r="A7" s="5">
        <v>5.0</v>
      </c>
      <c r="B7" s="7"/>
      <c r="C7" s="7"/>
      <c r="D7" s="7"/>
      <c r="E7" s="2">
        <f t="shared" si="1"/>
        <v>0</v>
      </c>
      <c r="F7" s="2"/>
      <c r="G7" s="5">
        <v>5.0</v>
      </c>
      <c r="H7" s="7"/>
      <c r="I7" s="7"/>
      <c r="J7" s="7"/>
      <c r="K7" s="2">
        <f t="shared" si="2"/>
        <v>0</v>
      </c>
      <c r="L7" s="2"/>
      <c r="M7" s="5">
        <v>5.0</v>
      </c>
      <c r="N7" s="7"/>
      <c r="O7" s="7"/>
      <c r="P7" s="7"/>
      <c r="Q7" s="2">
        <f t="shared" si="3"/>
        <v>0</v>
      </c>
      <c r="R7" s="2"/>
      <c r="S7" s="5">
        <v>5.0</v>
      </c>
      <c r="T7" s="7"/>
      <c r="U7" s="7"/>
      <c r="V7" s="7"/>
      <c r="W7" s="2">
        <f t="shared" si="4"/>
        <v>0</v>
      </c>
      <c r="X7" s="2"/>
      <c r="Y7" s="5">
        <v>5.0</v>
      </c>
      <c r="Z7" s="7"/>
      <c r="AA7" s="7"/>
      <c r="AB7" s="7"/>
      <c r="AC7" s="2">
        <f t="shared" si="5"/>
        <v>0</v>
      </c>
      <c r="AD7" s="2"/>
      <c r="AE7" s="5">
        <v>5.0</v>
      </c>
      <c r="AF7" s="7"/>
      <c r="AG7" s="7"/>
      <c r="AH7" s="7"/>
      <c r="AI7" s="2">
        <f t="shared" si="6"/>
        <v>0</v>
      </c>
      <c r="AJ7" s="2"/>
      <c r="AK7" s="5">
        <v>5.0</v>
      </c>
      <c r="AL7" s="7"/>
      <c r="AM7" s="7"/>
      <c r="AN7" s="7"/>
      <c r="AO7" s="2">
        <f t="shared" si="7"/>
        <v>0</v>
      </c>
      <c r="AP7" s="2"/>
      <c r="AQ7" s="5">
        <v>5.0</v>
      </c>
      <c r="AR7" s="7"/>
      <c r="AS7" s="7"/>
      <c r="AT7" s="7"/>
      <c r="AU7" s="2">
        <f t="shared" si="8"/>
        <v>0</v>
      </c>
      <c r="AV7" s="2"/>
      <c r="AW7" s="5">
        <v>5.0</v>
      </c>
      <c r="AX7" s="7"/>
      <c r="AY7" s="7"/>
      <c r="AZ7" s="7"/>
      <c r="BA7" s="2">
        <f t="shared" si="9"/>
        <v>0</v>
      </c>
      <c r="BB7" s="2"/>
      <c r="BC7" s="5">
        <v>5.0</v>
      </c>
      <c r="BD7" s="7"/>
      <c r="BE7" s="7"/>
      <c r="BF7" s="7"/>
      <c r="BG7" s="2">
        <f t="shared" si="10"/>
        <v>0</v>
      </c>
      <c r="BH7" s="2"/>
      <c r="BI7" s="5">
        <v>5.0</v>
      </c>
      <c r="BJ7" s="7"/>
      <c r="BK7" s="7"/>
      <c r="BL7" s="7"/>
      <c r="BM7" s="2">
        <f t="shared" si="11"/>
        <v>0</v>
      </c>
      <c r="BN7" s="2"/>
      <c r="BO7" s="5">
        <v>5.0</v>
      </c>
      <c r="BP7" s="7"/>
      <c r="BQ7" s="9"/>
      <c r="BR7" s="6">
        <f t="shared" si="13"/>
        <v>154.85</v>
      </c>
      <c r="BS7" s="2">
        <f t="shared" si="12"/>
        <v>4721.44</v>
      </c>
    </row>
    <row r="8">
      <c r="A8" s="5">
        <v>6.0</v>
      </c>
      <c r="B8" s="7"/>
      <c r="C8" s="7"/>
      <c r="D8" s="7"/>
      <c r="E8" s="2">
        <f t="shared" si="1"/>
        <v>0</v>
      </c>
      <c r="F8" s="2"/>
      <c r="G8" s="5">
        <v>6.0</v>
      </c>
      <c r="H8" s="7"/>
      <c r="I8" s="7"/>
      <c r="J8" s="7"/>
      <c r="K8" s="2">
        <f t="shared" si="2"/>
        <v>0</v>
      </c>
      <c r="L8" s="2"/>
      <c r="M8" s="5">
        <v>6.0</v>
      </c>
      <c r="N8" s="7"/>
      <c r="O8" s="7"/>
      <c r="P8" s="7"/>
      <c r="Q8" s="2">
        <f t="shared" si="3"/>
        <v>0</v>
      </c>
      <c r="R8" s="2"/>
      <c r="S8" s="5">
        <v>6.0</v>
      </c>
      <c r="T8" s="7"/>
      <c r="U8" s="7"/>
      <c r="V8" s="7"/>
      <c r="W8" s="2">
        <f t="shared" si="4"/>
        <v>0</v>
      </c>
      <c r="X8" s="2"/>
      <c r="Y8" s="5">
        <v>6.0</v>
      </c>
      <c r="Z8" s="7"/>
      <c r="AA8" s="7"/>
      <c r="AB8" s="7"/>
      <c r="AC8" s="2">
        <f t="shared" si="5"/>
        <v>0</v>
      </c>
      <c r="AD8" s="2"/>
      <c r="AE8" s="5">
        <v>6.0</v>
      </c>
      <c r="AF8" s="7"/>
      <c r="AG8" s="7"/>
      <c r="AH8" s="7"/>
      <c r="AI8" s="2">
        <f t="shared" si="6"/>
        <v>0</v>
      </c>
      <c r="AJ8" s="2"/>
      <c r="AK8" s="5">
        <v>6.0</v>
      </c>
      <c r="AL8" s="7"/>
      <c r="AM8" s="7"/>
      <c r="AN8" s="7"/>
      <c r="AO8" s="2">
        <f t="shared" si="7"/>
        <v>0</v>
      </c>
      <c r="AP8" s="2"/>
      <c r="AQ8" s="5">
        <v>6.0</v>
      </c>
      <c r="AR8" s="7"/>
      <c r="AS8" s="7"/>
      <c r="AT8" s="7"/>
      <c r="AU8" s="2">
        <f t="shared" si="8"/>
        <v>0</v>
      </c>
      <c r="AV8" s="2"/>
      <c r="AW8" s="5">
        <v>6.0</v>
      </c>
      <c r="AX8" s="7"/>
      <c r="AY8" s="7"/>
      <c r="AZ8" s="7"/>
      <c r="BA8" s="2">
        <f t="shared" si="9"/>
        <v>0</v>
      </c>
      <c r="BB8" s="2"/>
      <c r="BC8" s="5">
        <v>6.0</v>
      </c>
      <c r="BD8" s="7"/>
      <c r="BE8" s="7"/>
      <c r="BF8" s="7"/>
      <c r="BG8" s="2">
        <f t="shared" si="10"/>
        <v>0</v>
      </c>
      <c r="BH8" s="2"/>
      <c r="BI8" s="5">
        <v>6.0</v>
      </c>
      <c r="BJ8" s="7"/>
      <c r="BK8" s="7"/>
      <c r="BL8" s="7"/>
      <c r="BM8" s="2">
        <f t="shared" si="11"/>
        <v>0</v>
      </c>
      <c r="BN8" s="2"/>
      <c r="BO8" s="5">
        <v>6.0</v>
      </c>
      <c r="BP8" s="7"/>
      <c r="BQ8" s="7"/>
      <c r="BR8" s="6">
        <f t="shared" si="13"/>
        <v>154.85</v>
      </c>
      <c r="BS8" s="2">
        <f t="shared" si="12"/>
        <v>4566.59</v>
      </c>
    </row>
    <row r="9">
      <c r="A9" s="5">
        <v>7.0</v>
      </c>
      <c r="B9" s="7"/>
      <c r="C9" s="7"/>
      <c r="D9" s="7"/>
      <c r="E9" s="2">
        <f t="shared" si="1"/>
        <v>0</v>
      </c>
      <c r="F9" s="2"/>
      <c r="G9" s="5">
        <v>7.0</v>
      </c>
      <c r="H9" s="7"/>
      <c r="I9" s="7"/>
      <c r="J9" s="7"/>
      <c r="K9" s="2">
        <f t="shared" si="2"/>
        <v>0</v>
      </c>
      <c r="L9" s="2"/>
      <c r="M9" s="5">
        <v>7.0</v>
      </c>
      <c r="N9" s="7"/>
      <c r="O9" s="7"/>
      <c r="P9" s="7"/>
      <c r="Q9" s="2">
        <f t="shared" si="3"/>
        <v>0</v>
      </c>
      <c r="R9" s="2"/>
      <c r="S9" s="5">
        <v>7.0</v>
      </c>
      <c r="T9" s="7"/>
      <c r="U9" s="7"/>
      <c r="V9" s="7"/>
      <c r="W9" s="2">
        <f t="shared" si="4"/>
        <v>0</v>
      </c>
      <c r="X9" s="2"/>
      <c r="Y9" s="5">
        <v>7.0</v>
      </c>
      <c r="Z9" s="7"/>
      <c r="AA9" s="7"/>
      <c r="AB9" s="7"/>
      <c r="AC9" s="2">
        <f t="shared" si="5"/>
        <v>0</v>
      </c>
      <c r="AD9" s="2"/>
      <c r="AE9" s="5">
        <v>7.0</v>
      </c>
      <c r="AF9" s="7"/>
      <c r="AG9" s="7"/>
      <c r="AH9" s="7"/>
      <c r="AI9" s="2">
        <f t="shared" si="6"/>
        <v>0</v>
      </c>
      <c r="AJ9" s="2"/>
      <c r="AK9" s="5">
        <v>7.0</v>
      </c>
      <c r="AL9" s="7"/>
      <c r="AM9" s="7"/>
      <c r="AN9" s="7"/>
      <c r="AO9" s="2">
        <f t="shared" si="7"/>
        <v>0</v>
      </c>
      <c r="AP9" s="2"/>
      <c r="AQ9" s="5">
        <v>7.0</v>
      </c>
      <c r="AR9" s="7"/>
      <c r="AS9" s="7"/>
      <c r="AT9" s="7"/>
      <c r="AU9" s="2">
        <f t="shared" si="8"/>
        <v>0</v>
      </c>
      <c r="AV9" s="2"/>
      <c r="AW9" s="5">
        <v>7.0</v>
      </c>
      <c r="AX9" s="7"/>
      <c r="AY9" s="7"/>
      <c r="AZ9" s="7"/>
      <c r="BA9" s="2">
        <f t="shared" si="9"/>
        <v>0</v>
      </c>
      <c r="BB9" s="2"/>
      <c r="BC9" s="5">
        <v>7.0</v>
      </c>
      <c r="BD9" s="7"/>
      <c r="BE9" s="7"/>
      <c r="BF9" s="7"/>
      <c r="BG9" s="2">
        <f t="shared" si="10"/>
        <v>0</v>
      </c>
      <c r="BH9" s="2"/>
      <c r="BI9" s="5">
        <v>7.0</v>
      </c>
      <c r="BJ9" s="7"/>
      <c r="BK9" s="7"/>
      <c r="BL9" s="7"/>
      <c r="BM9" s="2">
        <f t="shared" si="11"/>
        <v>0</v>
      </c>
      <c r="BN9" s="2"/>
      <c r="BO9" s="5">
        <v>7.0</v>
      </c>
      <c r="BP9" s="7"/>
      <c r="BQ9" s="7"/>
      <c r="BR9" s="6">
        <f t="shared" si="13"/>
        <v>154.85</v>
      </c>
      <c r="BS9" s="2">
        <f t="shared" si="12"/>
        <v>4411.74</v>
      </c>
    </row>
    <row r="10">
      <c r="A10" s="5">
        <v>8.0</v>
      </c>
      <c r="B10" s="7"/>
      <c r="C10" s="7"/>
      <c r="D10" s="7"/>
      <c r="E10" s="2">
        <f t="shared" si="1"/>
        <v>0</v>
      </c>
      <c r="F10" s="2"/>
      <c r="G10" s="5">
        <v>8.0</v>
      </c>
      <c r="H10" s="7"/>
      <c r="I10" s="7"/>
      <c r="J10" s="7"/>
      <c r="K10" s="2">
        <f t="shared" si="2"/>
        <v>0</v>
      </c>
      <c r="L10" s="2"/>
      <c r="M10" s="5">
        <v>8.0</v>
      </c>
      <c r="N10" s="7"/>
      <c r="O10" s="7"/>
      <c r="P10" s="7"/>
      <c r="Q10" s="2">
        <f t="shared" si="3"/>
        <v>0</v>
      </c>
      <c r="R10" s="2"/>
      <c r="S10" s="5">
        <v>8.0</v>
      </c>
      <c r="T10" s="7"/>
      <c r="U10" s="7"/>
      <c r="V10" s="7"/>
      <c r="W10" s="2">
        <f t="shared" si="4"/>
        <v>0</v>
      </c>
      <c r="X10" s="2"/>
      <c r="Y10" s="5">
        <v>8.0</v>
      </c>
      <c r="Z10" s="7"/>
      <c r="AA10" s="7"/>
      <c r="AB10" s="7"/>
      <c r="AC10" s="2">
        <f t="shared" si="5"/>
        <v>0</v>
      </c>
      <c r="AD10" s="2"/>
      <c r="AE10" s="5">
        <v>8.0</v>
      </c>
      <c r="AF10" s="7"/>
      <c r="AG10" s="7"/>
      <c r="AH10" s="7"/>
      <c r="AI10" s="2">
        <f t="shared" si="6"/>
        <v>0</v>
      </c>
      <c r="AJ10" s="2"/>
      <c r="AK10" s="5">
        <v>8.0</v>
      </c>
      <c r="AL10" s="7"/>
      <c r="AM10" s="7"/>
      <c r="AN10" s="7"/>
      <c r="AO10" s="2">
        <f t="shared" si="7"/>
        <v>0</v>
      </c>
      <c r="AP10" s="2"/>
      <c r="AQ10" s="5">
        <v>8.0</v>
      </c>
      <c r="AR10" s="7"/>
      <c r="AS10" s="7"/>
      <c r="AT10" s="7"/>
      <c r="AU10" s="2">
        <f t="shared" si="8"/>
        <v>0</v>
      </c>
      <c r="AV10" s="2"/>
      <c r="AW10" s="5">
        <v>8.0</v>
      </c>
      <c r="AX10" s="7"/>
      <c r="AY10" s="7"/>
      <c r="AZ10" s="7"/>
      <c r="BA10" s="2">
        <f t="shared" si="9"/>
        <v>0</v>
      </c>
      <c r="BB10" s="2"/>
      <c r="BC10" s="5">
        <v>8.0</v>
      </c>
      <c r="BD10" s="7"/>
      <c r="BE10" s="7"/>
      <c r="BF10" s="7"/>
      <c r="BG10" s="2">
        <f t="shared" si="10"/>
        <v>0</v>
      </c>
      <c r="BH10" s="2"/>
      <c r="BI10" s="5">
        <v>8.0</v>
      </c>
      <c r="BJ10" s="7"/>
      <c r="BK10" s="7"/>
      <c r="BL10" s="7"/>
      <c r="BM10" s="2">
        <f t="shared" si="11"/>
        <v>0</v>
      </c>
      <c r="BN10" s="2"/>
      <c r="BO10" s="5">
        <v>8.0</v>
      </c>
      <c r="BP10" s="7"/>
      <c r="BQ10" s="7"/>
      <c r="BR10" s="6">
        <f t="shared" si="13"/>
        <v>154.85</v>
      </c>
      <c r="BS10" s="2">
        <f t="shared" si="12"/>
        <v>4256.89</v>
      </c>
    </row>
    <row r="11">
      <c r="A11" s="5">
        <v>9.0</v>
      </c>
      <c r="B11" s="7"/>
      <c r="C11" s="7"/>
      <c r="D11" s="7"/>
      <c r="E11" s="2">
        <f t="shared" si="1"/>
        <v>0</v>
      </c>
      <c r="F11" s="2"/>
      <c r="G11" s="5">
        <v>9.0</v>
      </c>
      <c r="H11" s="7"/>
      <c r="I11" s="7"/>
      <c r="J11" s="7"/>
      <c r="K11" s="2">
        <f t="shared" si="2"/>
        <v>0</v>
      </c>
      <c r="L11" s="2"/>
      <c r="M11" s="5">
        <v>9.0</v>
      </c>
      <c r="N11" s="7"/>
      <c r="O11" s="7"/>
      <c r="P11" s="7"/>
      <c r="Q11" s="2">
        <f t="shared" si="3"/>
        <v>0</v>
      </c>
      <c r="R11" s="2"/>
      <c r="S11" s="5">
        <v>9.0</v>
      </c>
      <c r="T11" s="7"/>
      <c r="U11" s="7"/>
      <c r="V11" s="7"/>
      <c r="W11" s="2">
        <f t="shared" si="4"/>
        <v>0</v>
      </c>
      <c r="X11" s="2"/>
      <c r="Y11" s="5">
        <v>9.0</v>
      </c>
      <c r="Z11" s="7"/>
      <c r="AA11" s="7"/>
      <c r="AB11" s="7"/>
      <c r="AC11" s="2">
        <f t="shared" si="5"/>
        <v>0</v>
      </c>
      <c r="AD11" s="2"/>
      <c r="AE11" s="5">
        <v>9.0</v>
      </c>
      <c r="AF11" s="7"/>
      <c r="AG11" s="7"/>
      <c r="AH11" s="7"/>
      <c r="AI11" s="2">
        <f t="shared" si="6"/>
        <v>0</v>
      </c>
      <c r="AJ11" s="2"/>
      <c r="AK11" s="5">
        <v>9.0</v>
      </c>
      <c r="AL11" s="7"/>
      <c r="AM11" s="7"/>
      <c r="AN11" s="7"/>
      <c r="AO11" s="2">
        <f t="shared" si="7"/>
        <v>0</v>
      </c>
      <c r="AP11" s="2"/>
      <c r="AQ11" s="5">
        <v>9.0</v>
      </c>
      <c r="AR11" s="7"/>
      <c r="AS11" s="7"/>
      <c r="AT11" s="7"/>
      <c r="AU11" s="2">
        <f t="shared" si="8"/>
        <v>0</v>
      </c>
      <c r="AV11" s="2"/>
      <c r="AW11" s="5">
        <v>9.0</v>
      </c>
      <c r="AX11" s="7"/>
      <c r="AY11" s="7"/>
      <c r="AZ11" s="7"/>
      <c r="BA11" s="2">
        <f t="shared" si="9"/>
        <v>0</v>
      </c>
      <c r="BB11" s="2"/>
      <c r="BC11" s="5">
        <v>9.0</v>
      </c>
      <c r="BD11" s="7"/>
      <c r="BE11" s="7"/>
      <c r="BF11" s="7"/>
      <c r="BG11" s="2">
        <f t="shared" si="10"/>
        <v>0</v>
      </c>
      <c r="BH11" s="2"/>
      <c r="BI11" s="5">
        <v>9.0</v>
      </c>
      <c r="BJ11" s="7"/>
      <c r="BK11" s="7"/>
      <c r="BL11" s="7"/>
      <c r="BM11" s="2">
        <f t="shared" si="11"/>
        <v>0</v>
      </c>
      <c r="BN11" s="2"/>
      <c r="BO11" s="5">
        <v>9.0</v>
      </c>
      <c r="BP11" s="7"/>
      <c r="BQ11" s="7"/>
      <c r="BR11" s="6">
        <f t="shared" si="13"/>
        <v>154.85</v>
      </c>
      <c r="BS11" s="2">
        <f t="shared" si="12"/>
        <v>4102.04</v>
      </c>
    </row>
    <row r="12">
      <c r="A12" s="5">
        <v>10.0</v>
      </c>
      <c r="B12" s="7"/>
      <c r="C12" s="7"/>
      <c r="D12" s="7"/>
      <c r="E12" s="2">
        <f t="shared" si="1"/>
        <v>0</v>
      </c>
      <c r="F12" s="2"/>
      <c r="G12" s="5">
        <v>10.0</v>
      </c>
      <c r="H12" s="7"/>
      <c r="I12" s="7"/>
      <c r="J12" s="7"/>
      <c r="K12" s="2">
        <f t="shared" si="2"/>
        <v>0</v>
      </c>
      <c r="L12" s="2"/>
      <c r="M12" s="5">
        <v>10.0</v>
      </c>
      <c r="N12" s="7"/>
      <c r="O12" s="7"/>
      <c r="P12" s="7"/>
      <c r="Q12" s="2">
        <f t="shared" si="3"/>
        <v>0</v>
      </c>
      <c r="R12" s="2"/>
      <c r="S12" s="5">
        <v>10.0</v>
      </c>
      <c r="T12" s="7"/>
      <c r="U12" s="7"/>
      <c r="V12" s="7"/>
      <c r="W12" s="2">
        <f t="shared" si="4"/>
        <v>0</v>
      </c>
      <c r="X12" s="2"/>
      <c r="Y12" s="5">
        <v>10.0</v>
      </c>
      <c r="Z12" s="7"/>
      <c r="AA12" s="7"/>
      <c r="AB12" s="7"/>
      <c r="AC12" s="2">
        <f t="shared" si="5"/>
        <v>0</v>
      </c>
      <c r="AD12" s="2"/>
      <c r="AE12" s="5">
        <v>10.0</v>
      </c>
      <c r="AF12" s="7"/>
      <c r="AG12" s="7"/>
      <c r="AH12" s="7"/>
      <c r="AI12" s="2">
        <f t="shared" si="6"/>
        <v>0</v>
      </c>
      <c r="AJ12" s="2"/>
      <c r="AK12" s="5">
        <v>10.0</v>
      </c>
      <c r="AL12" s="7"/>
      <c r="AM12" s="7"/>
      <c r="AN12" s="7"/>
      <c r="AO12" s="2">
        <f t="shared" si="7"/>
        <v>0</v>
      </c>
      <c r="AP12" s="2"/>
      <c r="AQ12" s="5">
        <v>10.0</v>
      </c>
      <c r="AR12" s="7"/>
      <c r="AS12" s="7"/>
      <c r="AT12" s="7"/>
      <c r="AU12" s="2">
        <f t="shared" si="8"/>
        <v>0</v>
      </c>
      <c r="AV12" s="2"/>
      <c r="AW12" s="5">
        <v>10.0</v>
      </c>
      <c r="AX12" s="7"/>
      <c r="AY12" s="7"/>
      <c r="AZ12" s="7"/>
      <c r="BA12" s="2">
        <f t="shared" si="9"/>
        <v>0</v>
      </c>
      <c r="BB12" s="2"/>
      <c r="BC12" s="5">
        <v>10.0</v>
      </c>
      <c r="BD12" s="7"/>
      <c r="BE12" s="7"/>
      <c r="BF12" s="7"/>
      <c r="BG12" s="2">
        <f t="shared" si="10"/>
        <v>0</v>
      </c>
      <c r="BH12" s="2"/>
      <c r="BI12" s="5">
        <v>10.0</v>
      </c>
      <c r="BJ12" s="6">
        <v>2425.63</v>
      </c>
      <c r="BK12" s="7"/>
      <c r="BL12" s="6">
        <v>0.0</v>
      </c>
      <c r="BM12" s="2">
        <f t="shared" si="11"/>
        <v>2425.63</v>
      </c>
      <c r="BN12" s="2"/>
      <c r="BO12" s="5">
        <v>10.0</v>
      </c>
      <c r="BP12" s="7"/>
      <c r="BQ12" s="7">
        <f>1881+100+160+60</f>
        <v>2201</v>
      </c>
      <c r="BR12" s="6">
        <f t="shared" si="13"/>
        <v>154.85</v>
      </c>
      <c r="BS12" s="2">
        <f t="shared" si="12"/>
        <v>1746.19</v>
      </c>
    </row>
    <row r="13">
      <c r="A13" s="5">
        <v>11.0</v>
      </c>
      <c r="B13" s="7"/>
      <c r="C13" s="7"/>
      <c r="D13" s="7"/>
      <c r="E13" s="2">
        <f t="shared" si="1"/>
        <v>0</v>
      </c>
      <c r="F13" s="2"/>
      <c r="G13" s="5">
        <v>11.0</v>
      </c>
      <c r="H13" s="7"/>
      <c r="I13" s="7"/>
      <c r="J13" s="7"/>
      <c r="K13" s="2">
        <f t="shared" si="2"/>
        <v>0</v>
      </c>
      <c r="L13" s="2"/>
      <c r="M13" s="5">
        <v>11.0</v>
      </c>
      <c r="N13" s="7"/>
      <c r="O13" s="7"/>
      <c r="P13" s="7"/>
      <c r="Q13" s="2">
        <f t="shared" si="3"/>
        <v>0</v>
      </c>
      <c r="R13" s="2"/>
      <c r="S13" s="5">
        <v>11.0</v>
      </c>
      <c r="T13" s="7"/>
      <c r="U13" s="7"/>
      <c r="V13" s="7"/>
      <c r="W13" s="2">
        <f t="shared" si="4"/>
        <v>0</v>
      </c>
      <c r="X13" s="2"/>
      <c r="Y13" s="5">
        <v>11.0</v>
      </c>
      <c r="Z13" s="7"/>
      <c r="AA13" s="7"/>
      <c r="AB13" s="7"/>
      <c r="AC13" s="2">
        <f t="shared" si="5"/>
        <v>0</v>
      </c>
      <c r="AD13" s="2"/>
      <c r="AE13" s="5">
        <v>11.0</v>
      </c>
      <c r="AF13" s="7"/>
      <c r="AG13" s="7"/>
      <c r="AH13" s="7"/>
      <c r="AI13" s="2">
        <f t="shared" si="6"/>
        <v>0</v>
      </c>
      <c r="AJ13" s="2"/>
      <c r="AK13" s="5">
        <v>11.0</v>
      </c>
      <c r="AL13" s="7"/>
      <c r="AM13" s="7"/>
      <c r="AN13" s="7"/>
      <c r="AO13" s="2">
        <f t="shared" si="7"/>
        <v>0</v>
      </c>
      <c r="AP13" s="2"/>
      <c r="AQ13" s="5">
        <v>11.0</v>
      </c>
      <c r="AR13" s="7"/>
      <c r="AS13" s="7"/>
      <c r="AT13" s="7"/>
      <c r="AU13" s="2">
        <f t="shared" si="8"/>
        <v>0</v>
      </c>
      <c r="AV13" s="2"/>
      <c r="AW13" s="5">
        <v>11.0</v>
      </c>
      <c r="AX13" s="7"/>
      <c r="AY13" s="7"/>
      <c r="AZ13" s="7"/>
      <c r="BA13" s="2">
        <f t="shared" si="9"/>
        <v>0</v>
      </c>
      <c r="BB13" s="2"/>
      <c r="BC13" s="5">
        <v>11.0</v>
      </c>
      <c r="BD13" s="7"/>
      <c r="BE13" s="7"/>
      <c r="BF13" s="7"/>
      <c r="BG13" s="2">
        <f t="shared" si="10"/>
        <v>0</v>
      </c>
      <c r="BH13" s="2"/>
      <c r="BI13" s="5">
        <v>11.0</v>
      </c>
      <c r="BJ13" s="7"/>
      <c r="BK13" s="7"/>
      <c r="BL13" s="6">
        <f>150</f>
        <v>150</v>
      </c>
      <c r="BM13" s="2">
        <f t="shared" si="11"/>
        <v>2275.63</v>
      </c>
      <c r="BN13" s="2"/>
      <c r="BO13" s="5">
        <v>11.0</v>
      </c>
      <c r="BP13" s="7"/>
      <c r="BQ13" s="7"/>
      <c r="BR13" s="6">
        <f t="shared" si="13"/>
        <v>154.85</v>
      </c>
      <c r="BS13" s="2">
        <f t="shared" si="12"/>
        <v>1591.34</v>
      </c>
    </row>
    <row r="14">
      <c r="A14" s="5">
        <v>12.0</v>
      </c>
      <c r="B14" s="7"/>
      <c r="C14" s="7"/>
      <c r="D14" s="7"/>
      <c r="E14" s="2">
        <f t="shared" si="1"/>
        <v>0</v>
      </c>
      <c r="F14" s="2"/>
      <c r="G14" s="5">
        <v>12.0</v>
      </c>
      <c r="H14" s="7"/>
      <c r="I14" s="7"/>
      <c r="J14" s="7"/>
      <c r="K14" s="2">
        <f t="shared" si="2"/>
        <v>0</v>
      </c>
      <c r="L14" s="2"/>
      <c r="M14" s="5">
        <v>12.0</v>
      </c>
      <c r="N14" s="7"/>
      <c r="O14" s="7"/>
      <c r="P14" s="7"/>
      <c r="Q14" s="2">
        <f t="shared" si="3"/>
        <v>0</v>
      </c>
      <c r="R14" s="2"/>
      <c r="S14" s="5">
        <v>12.0</v>
      </c>
      <c r="T14" s="7"/>
      <c r="U14" s="7"/>
      <c r="V14" s="7"/>
      <c r="W14" s="2">
        <f t="shared" si="4"/>
        <v>0</v>
      </c>
      <c r="X14" s="2"/>
      <c r="Y14" s="5">
        <v>12.0</v>
      </c>
      <c r="Z14" s="7"/>
      <c r="AA14" s="7"/>
      <c r="AB14" s="7"/>
      <c r="AC14" s="2">
        <f t="shared" si="5"/>
        <v>0</v>
      </c>
      <c r="AD14" s="2"/>
      <c r="AE14" s="5">
        <v>12.0</v>
      </c>
      <c r="AF14" s="7"/>
      <c r="AG14" s="7"/>
      <c r="AH14" s="7"/>
      <c r="AI14" s="2">
        <f t="shared" si="6"/>
        <v>0</v>
      </c>
      <c r="AJ14" s="2"/>
      <c r="AK14" s="5">
        <v>12.0</v>
      </c>
      <c r="AL14" s="7"/>
      <c r="AM14" s="7"/>
      <c r="AN14" s="7"/>
      <c r="AO14" s="2">
        <f t="shared" si="7"/>
        <v>0</v>
      </c>
      <c r="AP14" s="2"/>
      <c r="AQ14" s="5">
        <v>12.0</v>
      </c>
      <c r="AR14" s="7"/>
      <c r="AS14" s="7"/>
      <c r="AT14" s="7"/>
      <c r="AU14" s="2">
        <f t="shared" si="8"/>
        <v>0</v>
      </c>
      <c r="AV14" s="2"/>
      <c r="AW14" s="5">
        <v>12.0</v>
      </c>
      <c r="AX14" s="7"/>
      <c r="AY14" s="7"/>
      <c r="AZ14" s="7"/>
      <c r="BA14" s="2">
        <f t="shared" si="9"/>
        <v>0</v>
      </c>
      <c r="BB14" s="2"/>
      <c r="BC14" s="5">
        <v>12.0</v>
      </c>
      <c r="BD14" s="7"/>
      <c r="BE14" s="7"/>
      <c r="BF14" s="7"/>
      <c r="BG14" s="2">
        <f t="shared" si="10"/>
        <v>0</v>
      </c>
      <c r="BH14" s="2"/>
      <c r="BI14" s="5">
        <v>12.0</v>
      </c>
      <c r="BJ14" s="7"/>
      <c r="BK14" s="7"/>
      <c r="BL14" s="6">
        <v>0.0</v>
      </c>
      <c r="BM14" s="2">
        <f t="shared" si="11"/>
        <v>2275.63</v>
      </c>
      <c r="BN14" s="2"/>
      <c r="BO14" s="5">
        <v>12.0</v>
      </c>
      <c r="BP14" s="7"/>
      <c r="BQ14" s="7"/>
      <c r="BR14" s="6">
        <f t="shared" si="13"/>
        <v>154.85</v>
      </c>
      <c r="BS14" s="2">
        <f t="shared" si="12"/>
        <v>1436.49</v>
      </c>
    </row>
    <row r="15">
      <c r="A15" s="5">
        <v>13.0</v>
      </c>
      <c r="B15" s="7"/>
      <c r="C15" s="7"/>
      <c r="D15" s="7"/>
      <c r="E15" s="2">
        <f t="shared" si="1"/>
        <v>0</v>
      </c>
      <c r="F15" s="2"/>
      <c r="G15" s="5">
        <v>13.0</v>
      </c>
      <c r="H15" s="7"/>
      <c r="I15" s="7"/>
      <c r="J15" s="7"/>
      <c r="K15" s="2">
        <f t="shared" si="2"/>
        <v>0</v>
      </c>
      <c r="L15" s="2"/>
      <c r="M15" s="5">
        <v>13.0</v>
      </c>
      <c r="N15" s="7"/>
      <c r="O15" s="7"/>
      <c r="P15" s="7"/>
      <c r="Q15" s="2">
        <f t="shared" si="3"/>
        <v>0</v>
      </c>
      <c r="R15" s="2"/>
      <c r="S15" s="5">
        <v>13.0</v>
      </c>
      <c r="T15" s="7"/>
      <c r="U15" s="7"/>
      <c r="V15" s="7"/>
      <c r="W15" s="2">
        <f t="shared" si="4"/>
        <v>0</v>
      </c>
      <c r="X15" s="2"/>
      <c r="Y15" s="5">
        <v>13.0</v>
      </c>
      <c r="Z15" s="7"/>
      <c r="AA15" s="7"/>
      <c r="AB15" s="7"/>
      <c r="AC15" s="2">
        <f t="shared" si="5"/>
        <v>0</v>
      </c>
      <c r="AD15" s="2"/>
      <c r="AE15" s="5">
        <v>13.0</v>
      </c>
      <c r="AF15" s="7"/>
      <c r="AG15" s="7"/>
      <c r="AH15" s="7"/>
      <c r="AI15" s="2">
        <f t="shared" si="6"/>
        <v>0</v>
      </c>
      <c r="AJ15" s="2"/>
      <c r="AK15" s="5">
        <v>13.0</v>
      </c>
      <c r="AL15" s="7"/>
      <c r="AM15" s="7"/>
      <c r="AN15" s="7"/>
      <c r="AO15" s="2">
        <f t="shared" si="7"/>
        <v>0</v>
      </c>
      <c r="AP15" s="2"/>
      <c r="AQ15" s="5">
        <v>13.0</v>
      </c>
      <c r="AR15" s="7"/>
      <c r="AS15" s="7"/>
      <c r="AT15" s="7"/>
      <c r="AU15" s="2">
        <f t="shared" si="8"/>
        <v>0</v>
      </c>
      <c r="AV15" s="2"/>
      <c r="AW15" s="5">
        <v>13.0</v>
      </c>
      <c r="AX15" s="7"/>
      <c r="AY15" s="7"/>
      <c r="AZ15" s="7"/>
      <c r="BA15" s="2">
        <f t="shared" si="9"/>
        <v>0</v>
      </c>
      <c r="BB15" s="2"/>
      <c r="BC15" s="5">
        <v>13.0</v>
      </c>
      <c r="BD15" s="7"/>
      <c r="BE15" s="7"/>
      <c r="BF15" s="7"/>
      <c r="BG15" s="2">
        <f t="shared" si="10"/>
        <v>0</v>
      </c>
      <c r="BH15" s="2"/>
      <c r="BI15" s="5">
        <v>13.0</v>
      </c>
      <c r="BJ15" s="7"/>
      <c r="BK15" s="7"/>
      <c r="BL15" s="6">
        <f>100+13.63+500</f>
        <v>613.63</v>
      </c>
      <c r="BM15" s="2">
        <f t="shared" si="11"/>
        <v>1662</v>
      </c>
      <c r="BN15" s="2"/>
      <c r="BO15" s="5">
        <v>13.0</v>
      </c>
      <c r="BP15" s="7"/>
      <c r="BQ15" s="7"/>
      <c r="BR15" s="6">
        <f t="shared" si="13"/>
        <v>154.85</v>
      </c>
      <c r="BS15" s="2">
        <f t="shared" si="12"/>
        <v>1281.64</v>
      </c>
    </row>
    <row r="16">
      <c r="A16" s="5">
        <v>14.0</v>
      </c>
      <c r="B16" s="7"/>
      <c r="C16" s="7"/>
      <c r="D16" s="7"/>
      <c r="E16" s="2">
        <f t="shared" si="1"/>
        <v>0</v>
      </c>
      <c r="F16" s="2"/>
      <c r="G16" s="5">
        <v>14.0</v>
      </c>
      <c r="H16" s="7"/>
      <c r="I16" s="7"/>
      <c r="J16" s="7"/>
      <c r="K16" s="2">
        <f t="shared" si="2"/>
        <v>0</v>
      </c>
      <c r="L16" s="2"/>
      <c r="M16" s="5">
        <v>14.0</v>
      </c>
      <c r="N16" s="7"/>
      <c r="O16" s="7"/>
      <c r="P16" s="7"/>
      <c r="Q16" s="2">
        <f t="shared" si="3"/>
        <v>0</v>
      </c>
      <c r="R16" s="2"/>
      <c r="S16" s="5">
        <v>14.0</v>
      </c>
      <c r="T16" s="7"/>
      <c r="U16" s="7"/>
      <c r="V16" s="7"/>
      <c r="W16" s="2">
        <f t="shared" si="4"/>
        <v>0</v>
      </c>
      <c r="X16" s="2"/>
      <c r="Y16" s="5">
        <v>14.0</v>
      </c>
      <c r="Z16" s="7"/>
      <c r="AA16" s="7"/>
      <c r="AB16" s="7"/>
      <c r="AC16" s="2">
        <f t="shared" si="5"/>
        <v>0</v>
      </c>
      <c r="AD16" s="2"/>
      <c r="AE16" s="5">
        <v>14.0</v>
      </c>
      <c r="AF16" s="7"/>
      <c r="AG16" s="7"/>
      <c r="AH16" s="7"/>
      <c r="AI16" s="2">
        <f t="shared" si="6"/>
        <v>0</v>
      </c>
      <c r="AJ16" s="2"/>
      <c r="AK16" s="5">
        <v>14.0</v>
      </c>
      <c r="AL16" s="7"/>
      <c r="AM16" s="7"/>
      <c r="AN16" s="7"/>
      <c r="AO16" s="2">
        <f t="shared" si="7"/>
        <v>0</v>
      </c>
      <c r="AP16" s="2"/>
      <c r="AQ16" s="5">
        <v>14.0</v>
      </c>
      <c r="AR16" s="7"/>
      <c r="AS16" s="7"/>
      <c r="AT16" s="7"/>
      <c r="AU16" s="2">
        <f t="shared" si="8"/>
        <v>0</v>
      </c>
      <c r="AV16" s="2"/>
      <c r="AW16" s="5">
        <v>14.0</v>
      </c>
      <c r="AX16" s="7"/>
      <c r="AY16" s="7"/>
      <c r="AZ16" s="7"/>
      <c r="BA16" s="2">
        <f t="shared" si="9"/>
        <v>0</v>
      </c>
      <c r="BB16" s="2"/>
      <c r="BC16" s="5">
        <v>14.0</v>
      </c>
      <c r="BD16" s="7"/>
      <c r="BE16" s="7"/>
      <c r="BF16" s="7"/>
      <c r="BG16" s="2">
        <f t="shared" si="10"/>
        <v>0</v>
      </c>
      <c r="BH16" s="2"/>
      <c r="BI16" s="5">
        <v>14.0</v>
      </c>
      <c r="BJ16" s="7"/>
      <c r="BK16" s="7"/>
      <c r="BL16" s="6">
        <v>0.0</v>
      </c>
      <c r="BM16" s="2">
        <f t="shared" si="11"/>
        <v>1662</v>
      </c>
      <c r="BN16" s="2"/>
      <c r="BO16" s="5">
        <v>14.0</v>
      </c>
      <c r="BP16" s="7"/>
      <c r="BQ16" s="7"/>
      <c r="BR16" s="6">
        <f t="shared" si="13"/>
        <v>154.85</v>
      </c>
      <c r="BS16" s="2">
        <f t="shared" si="12"/>
        <v>1126.79</v>
      </c>
    </row>
    <row r="17">
      <c r="A17" s="5">
        <v>15.0</v>
      </c>
      <c r="B17" s="7"/>
      <c r="C17" s="7"/>
      <c r="D17" s="7"/>
      <c r="E17" s="2">
        <f t="shared" si="1"/>
        <v>0</v>
      </c>
      <c r="F17" s="2"/>
      <c r="G17" s="5">
        <v>15.0</v>
      </c>
      <c r="H17" s="7"/>
      <c r="I17" s="7"/>
      <c r="J17" s="7"/>
      <c r="K17" s="2">
        <f t="shared" si="2"/>
        <v>0</v>
      </c>
      <c r="L17" s="2"/>
      <c r="M17" s="5">
        <v>15.0</v>
      </c>
      <c r="N17" s="7"/>
      <c r="O17" s="7"/>
      <c r="P17" s="7"/>
      <c r="Q17" s="2">
        <f t="shared" si="3"/>
        <v>0</v>
      </c>
      <c r="R17" s="2"/>
      <c r="S17" s="5">
        <v>15.0</v>
      </c>
      <c r="T17" s="7"/>
      <c r="U17" s="7"/>
      <c r="V17" s="7"/>
      <c r="W17" s="2">
        <f t="shared" si="4"/>
        <v>0</v>
      </c>
      <c r="X17" s="2"/>
      <c r="Y17" s="5">
        <v>15.0</v>
      </c>
      <c r="Z17" s="7"/>
      <c r="AA17" s="7"/>
      <c r="AB17" s="7"/>
      <c r="AC17" s="2">
        <f t="shared" si="5"/>
        <v>0</v>
      </c>
      <c r="AD17" s="2"/>
      <c r="AE17" s="5">
        <v>15.0</v>
      </c>
      <c r="AF17" s="7"/>
      <c r="AG17" s="7"/>
      <c r="AH17" s="7"/>
      <c r="AI17" s="2">
        <f t="shared" si="6"/>
        <v>0</v>
      </c>
      <c r="AJ17" s="2"/>
      <c r="AK17" s="5">
        <v>15.0</v>
      </c>
      <c r="AL17" s="7"/>
      <c r="AM17" s="7"/>
      <c r="AN17" s="7"/>
      <c r="AO17" s="2">
        <f t="shared" si="7"/>
        <v>0</v>
      </c>
      <c r="AP17" s="2"/>
      <c r="AQ17" s="5">
        <v>15.0</v>
      </c>
      <c r="AR17" s="7"/>
      <c r="AS17" s="7"/>
      <c r="AT17" s="7"/>
      <c r="AU17" s="2">
        <f t="shared" si="8"/>
        <v>0</v>
      </c>
      <c r="AV17" s="2"/>
      <c r="AW17" s="5">
        <v>15.0</v>
      </c>
      <c r="AX17" s="7"/>
      <c r="AY17" s="7"/>
      <c r="AZ17" s="7"/>
      <c r="BA17" s="2">
        <f t="shared" si="9"/>
        <v>0</v>
      </c>
      <c r="BB17" s="2"/>
      <c r="BC17" s="5">
        <v>15.0</v>
      </c>
      <c r="BD17" s="7"/>
      <c r="BE17" s="7"/>
      <c r="BF17" s="7"/>
      <c r="BG17" s="2">
        <f t="shared" si="10"/>
        <v>0</v>
      </c>
      <c r="BH17" s="2"/>
      <c r="BI17" s="5">
        <v>15.0</v>
      </c>
      <c r="BJ17" s="7"/>
      <c r="BK17" s="7"/>
      <c r="BL17" s="6">
        <v>30.0</v>
      </c>
      <c r="BM17" s="2">
        <f t="shared" si="11"/>
        <v>1632</v>
      </c>
      <c r="BN17" s="2"/>
      <c r="BO17" s="5">
        <v>15.0</v>
      </c>
      <c r="BP17" s="7"/>
      <c r="BQ17" s="6">
        <f>500</f>
        <v>500</v>
      </c>
      <c r="BR17" s="6">
        <f t="shared" si="13"/>
        <v>154.85</v>
      </c>
      <c r="BS17" s="2">
        <f t="shared" si="12"/>
        <v>471.94</v>
      </c>
    </row>
    <row r="18">
      <c r="A18" s="5">
        <v>16.0</v>
      </c>
      <c r="B18" s="7"/>
      <c r="C18" s="7"/>
      <c r="D18" s="7"/>
      <c r="E18" s="2">
        <f t="shared" si="1"/>
        <v>0</v>
      </c>
      <c r="F18" s="2"/>
      <c r="G18" s="5">
        <v>16.0</v>
      </c>
      <c r="H18" s="7"/>
      <c r="I18" s="7"/>
      <c r="J18" s="7"/>
      <c r="K18" s="2">
        <f t="shared" si="2"/>
        <v>0</v>
      </c>
      <c r="L18" s="2"/>
      <c r="M18" s="5">
        <v>16.0</v>
      </c>
      <c r="N18" s="7"/>
      <c r="O18" s="7"/>
      <c r="P18" s="7"/>
      <c r="Q18" s="2">
        <f t="shared" si="3"/>
        <v>0</v>
      </c>
      <c r="R18" s="2"/>
      <c r="S18" s="5">
        <v>16.0</v>
      </c>
      <c r="T18" s="7"/>
      <c r="U18" s="7"/>
      <c r="V18" s="7"/>
      <c r="W18" s="2">
        <f t="shared" si="4"/>
        <v>0</v>
      </c>
      <c r="X18" s="2"/>
      <c r="Y18" s="5">
        <v>16.0</v>
      </c>
      <c r="Z18" s="7"/>
      <c r="AA18" s="7"/>
      <c r="AB18" s="7"/>
      <c r="AC18" s="2">
        <f t="shared" si="5"/>
        <v>0</v>
      </c>
      <c r="AD18" s="2"/>
      <c r="AE18" s="5">
        <v>16.0</v>
      </c>
      <c r="AF18" s="7"/>
      <c r="AG18" s="7"/>
      <c r="AH18" s="7"/>
      <c r="AI18" s="2">
        <f t="shared" si="6"/>
        <v>0</v>
      </c>
      <c r="AJ18" s="2"/>
      <c r="AK18" s="5">
        <v>16.0</v>
      </c>
      <c r="AL18" s="7"/>
      <c r="AM18" s="7"/>
      <c r="AN18" s="7"/>
      <c r="AO18" s="2">
        <f t="shared" si="7"/>
        <v>0</v>
      </c>
      <c r="AP18" s="2"/>
      <c r="AQ18" s="5">
        <v>16.0</v>
      </c>
      <c r="AR18" s="7"/>
      <c r="AS18" s="7"/>
      <c r="AT18" s="7"/>
      <c r="AU18" s="2">
        <f t="shared" si="8"/>
        <v>0</v>
      </c>
      <c r="AV18" s="2"/>
      <c r="AW18" s="5">
        <v>16.0</v>
      </c>
      <c r="AX18" s="7"/>
      <c r="AY18" s="7"/>
      <c r="AZ18" s="7"/>
      <c r="BA18" s="2">
        <f t="shared" si="9"/>
        <v>0</v>
      </c>
      <c r="BB18" s="2"/>
      <c r="BC18" s="5">
        <v>16.0</v>
      </c>
      <c r="BD18" s="7"/>
      <c r="BE18" s="7"/>
      <c r="BF18" s="7"/>
      <c r="BG18" s="2">
        <f t="shared" si="10"/>
        <v>0</v>
      </c>
      <c r="BH18" s="2"/>
      <c r="BI18" s="5">
        <v>16.0</v>
      </c>
      <c r="BJ18" s="7"/>
      <c r="BK18" s="7"/>
      <c r="BL18" s="6">
        <v>0.0</v>
      </c>
      <c r="BM18" s="2">
        <f t="shared" si="11"/>
        <v>1632</v>
      </c>
      <c r="BN18" s="2"/>
      <c r="BO18" s="5">
        <v>16.0</v>
      </c>
      <c r="BP18" s="7"/>
      <c r="BQ18" s="7"/>
      <c r="BR18" s="6">
        <f t="shared" si="13"/>
        <v>154.85</v>
      </c>
      <c r="BS18" s="2">
        <f t="shared" si="12"/>
        <v>317.09</v>
      </c>
    </row>
    <row r="19">
      <c r="A19" s="5">
        <v>17.0</v>
      </c>
      <c r="B19" s="7"/>
      <c r="C19" s="7"/>
      <c r="D19" s="7"/>
      <c r="E19" s="2">
        <f t="shared" si="1"/>
        <v>0</v>
      </c>
      <c r="F19" s="2"/>
      <c r="G19" s="5">
        <v>17.0</v>
      </c>
      <c r="H19" s="7"/>
      <c r="I19" s="7"/>
      <c r="J19" s="7"/>
      <c r="K19" s="2">
        <f t="shared" si="2"/>
        <v>0</v>
      </c>
      <c r="L19" s="2"/>
      <c r="M19" s="5">
        <v>17.0</v>
      </c>
      <c r="N19" s="7"/>
      <c r="O19" s="7"/>
      <c r="P19" s="7"/>
      <c r="Q19" s="2">
        <f t="shared" si="3"/>
        <v>0</v>
      </c>
      <c r="R19" s="2"/>
      <c r="S19" s="5">
        <v>17.0</v>
      </c>
      <c r="T19" s="7"/>
      <c r="U19" s="7"/>
      <c r="V19" s="7"/>
      <c r="W19" s="2">
        <f t="shared" si="4"/>
        <v>0</v>
      </c>
      <c r="X19" s="2"/>
      <c r="Y19" s="5">
        <v>17.0</v>
      </c>
      <c r="Z19" s="7"/>
      <c r="AA19" s="7"/>
      <c r="AB19" s="7"/>
      <c r="AC19" s="2">
        <f t="shared" si="5"/>
        <v>0</v>
      </c>
      <c r="AD19" s="2"/>
      <c r="AE19" s="5">
        <v>17.0</v>
      </c>
      <c r="AF19" s="7"/>
      <c r="AG19" s="7"/>
      <c r="AH19" s="7"/>
      <c r="AI19" s="2">
        <f t="shared" si="6"/>
        <v>0</v>
      </c>
      <c r="AJ19" s="2"/>
      <c r="AK19" s="5">
        <v>17.0</v>
      </c>
      <c r="AL19" s="7"/>
      <c r="AM19" s="7"/>
      <c r="AN19" s="7"/>
      <c r="AO19" s="2">
        <f t="shared" si="7"/>
        <v>0</v>
      </c>
      <c r="AP19" s="2"/>
      <c r="AQ19" s="5">
        <v>17.0</v>
      </c>
      <c r="AR19" s="7"/>
      <c r="AS19" s="7"/>
      <c r="AT19" s="7"/>
      <c r="AU19" s="2">
        <f t="shared" si="8"/>
        <v>0</v>
      </c>
      <c r="AV19" s="2"/>
      <c r="AW19" s="5">
        <v>17.0</v>
      </c>
      <c r="AX19" s="7"/>
      <c r="AY19" s="7"/>
      <c r="AZ19" s="7"/>
      <c r="BA19" s="2">
        <f t="shared" si="9"/>
        <v>0</v>
      </c>
      <c r="BB19" s="2"/>
      <c r="BC19" s="5">
        <v>17.0</v>
      </c>
      <c r="BD19" s="7"/>
      <c r="BE19" s="7"/>
      <c r="BF19" s="7"/>
      <c r="BG19" s="2">
        <f t="shared" si="10"/>
        <v>0</v>
      </c>
      <c r="BH19" s="2"/>
      <c r="BI19" s="5">
        <v>17.0</v>
      </c>
      <c r="BJ19" s="7"/>
      <c r="BK19" s="7"/>
      <c r="BL19" s="6">
        <f>40+5.49+10.25+30+10.25</f>
        <v>95.99</v>
      </c>
      <c r="BM19" s="2">
        <f t="shared" si="11"/>
        <v>1536.01</v>
      </c>
      <c r="BN19" s="2"/>
      <c r="BO19" s="5">
        <v>17.0</v>
      </c>
      <c r="BP19" s="7"/>
      <c r="BQ19" s="7"/>
      <c r="BR19" s="6">
        <f t="shared" si="13"/>
        <v>154.85</v>
      </c>
      <c r="BS19" s="2">
        <f t="shared" si="12"/>
        <v>162.24</v>
      </c>
    </row>
    <row r="20">
      <c r="A20" s="5">
        <v>18.0</v>
      </c>
      <c r="B20" s="7"/>
      <c r="C20" s="7"/>
      <c r="D20" s="7"/>
      <c r="E20" s="2">
        <f t="shared" si="1"/>
        <v>0</v>
      </c>
      <c r="F20" s="2"/>
      <c r="G20" s="5">
        <v>18.0</v>
      </c>
      <c r="H20" s="7"/>
      <c r="I20" s="7"/>
      <c r="J20" s="7"/>
      <c r="K20" s="2">
        <f t="shared" si="2"/>
        <v>0</v>
      </c>
      <c r="L20" s="2"/>
      <c r="M20" s="5">
        <v>18.0</v>
      </c>
      <c r="N20" s="7"/>
      <c r="O20" s="7"/>
      <c r="P20" s="7"/>
      <c r="Q20" s="2">
        <f t="shared" si="3"/>
        <v>0</v>
      </c>
      <c r="R20" s="2"/>
      <c r="S20" s="5">
        <v>18.0</v>
      </c>
      <c r="T20" s="7"/>
      <c r="U20" s="7"/>
      <c r="V20" s="7"/>
      <c r="W20" s="2">
        <f t="shared" si="4"/>
        <v>0</v>
      </c>
      <c r="X20" s="2"/>
      <c r="Y20" s="5">
        <v>18.0</v>
      </c>
      <c r="Z20" s="7"/>
      <c r="AA20" s="7"/>
      <c r="AB20" s="7"/>
      <c r="AC20" s="2">
        <f t="shared" si="5"/>
        <v>0</v>
      </c>
      <c r="AD20" s="2"/>
      <c r="AE20" s="5">
        <v>18.0</v>
      </c>
      <c r="AF20" s="7"/>
      <c r="AG20" s="7"/>
      <c r="AH20" s="7"/>
      <c r="AI20" s="2">
        <f t="shared" si="6"/>
        <v>0</v>
      </c>
      <c r="AJ20" s="2"/>
      <c r="AK20" s="5">
        <v>18.0</v>
      </c>
      <c r="AL20" s="7"/>
      <c r="AM20" s="7"/>
      <c r="AN20" s="7"/>
      <c r="AO20" s="2">
        <f t="shared" si="7"/>
        <v>0</v>
      </c>
      <c r="AP20" s="2"/>
      <c r="AQ20" s="5">
        <v>18.0</v>
      </c>
      <c r="AR20" s="7"/>
      <c r="AS20" s="7"/>
      <c r="AT20" s="7"/>
      <c r="AU20" s="2">
        <f t="shared" si="8"/>
        <v>0</v>
      </c>
      <c r="AV20" s="2"/>
      <c r="AW20" s="5">
        <v>18.0</v>
      </c>
      <c r="AX20" s="7"/>
      <c r="AY20" s="7"/>
      <c r="AZ20" s="7"/>
      <c r="BA20" s="2">
        <f t="shared" si="9"/>
        <v>0</v>
      </c>
      <c r="BB20" s="2"/>
      <c r="BC20" s="5">
        <v>18.0</v>
      </c>
      <c r="BD20" s="7"/>
      <c r="BE20" s="7"/>
      <c r="BF20" s="7"/>
      <c r="BG20" s="2">
        <f t="shared" si="10"/>
        <v>0</v>
      </c>
      <c r="BH20" s="2"/>
      <c r="BI20" s="5">
        <v>18.0</v>
      </c>
      <c r="BJ20" s="7"/>
      <c r="BK20" s="7"/>
      <c r="BL20" s="6">
        <v>0.0</v>
      </c>
      <c r="BM20" s="2">
        <f t="shared" si="11"/>
        <v>1536.01</v>
      </c>
      <c r="BN20" s="2"/>
      <c r="BO20" s="5">
        <v>18.0</v>
      </c>
      <c r="BP20" s="7"/>
      <c r="BQ20" s="7"/>
      <c r="BR20" s="6">
        <f t="shared" si="13"/>
        <v>154.85</v>
      </c>
      <c r="BS20" s="2">
        <f t="shared" si="12"/>
        <v>7.39</v>
      </c>
    </row>
    <row r="21">
      <c r="A21" s="5">
        <v>19.0</v>
      </c>
      <c r="B21" s="7"/>
      <c r="C21" s="7"/>
      <c r="D21" s="7"/>
      <c r="E21" s="2">
        <f t="shared" si="1"/>
        <v>0</v>
      </c>
      <c r="F21" s="2"/>
      <c r="G21" s="5">
        <v>19.0</v>
      </c>
      <c r="H21" s="7"/>
      <c r="I21" s="7"/>
      <c r="J21" s="7"/>
      <c r="K21" s="2">
        <f t="shared" si="2"/>
        <v>0</v>
      </c>
      <c r="L21" s="2"/>
      <c r="M21" s="5">
        <v>19.0</v>
      </c>
      <c r="N21" s="7"/>
      <c r="O21" s="7"/>
      <c r="P21" s="7"/>
      <c r="Q21" s="2">
        <f t="shared" si="3"/>
        <v>0</v>
      </c>
      <c r="R21" s="2"/>
      <c r="S21" s="5">
        <v>19.0</v>
      </c>
      <c r="T21" s="7"/>
      <c r="U21" s="7"/>
      <c r="V21" s="7"/>
      <c r="W21" s="2">
        <f t="shared" si="4"/>
        <v>0</v>
      </c>
      <c r="X21" s="2"/>
      <c r="Y21" s="5">
        <v>19.0</v>
      </c>
      <c r="Z21" s="7"/>
      <c r="AA21" s="7"/>
      <c r="AB21" s="7"/>
      <c r="AC21" s="2">
        <f t="shared" si="5"/>
        <v>0</v>
      </c>
      <c r="AD21" s="2"/>
      <c r="AE21" s="5">
        <v>19.0</v>
      </c>
      <c r="AF21" s="7"/>
      <c r="AG21" s="7"/>
      <c r="AH21" s="7"/>
      <c r="AI21" s="2">
        <f t="shared" si="6"/>
        <v>0</v>
      </c>
      <c r="AJ21" s="2"/>
      <c r="AK21" s="5">
        <v>19.0</v>
      </c>
      <c r="AL21" s="7"/>
      <c r="AM21" s="7"/>
      <c r="AN21" s="7"/>
      <c r="AO21" s="2">
        <f t="shared" si="7"/>
        <v>0</v>
      </c>
      <c r="AP21" s="2"/>
      <c r="AQ21" s="5">
        <v>19.0</v>
      </c>
      <c r="AR21" s="7"/>
      <c r="AS21" s="7"/>
      <c r="AT21" s="7"/>
      <c r="AU21" s="2">
        <f t="shared" si="8"/>
        <v>0</v>
      </c>
      <c r="AV21" s="2"/>
      <c r="AW21" s="5">
        <v>19.0</v>
      </c>
      <c r="AX21" s="7"/>
      <c r="AY21" s="7"/>
      <c r="AZ21" s="7"/>
      <c r="BA21" s="2">
        <f t="shared" si="9"/>
        <v>0</v>
      </c>
      <c r="BB21" s="2"/>
      <c r="BC21" s="5">
        <v>19.0</v>
      </c>
      <c r="BD21" s="7"/>
      <c r="BE21" s="7"/>
      <c r="BF21" s="7"/>
      <c r="BG21" s="2">
        <f t="shared" si="10"/>
        <v>0</v>
      </c>
      <c r="BH21" s="2"/>
      <c r="BI21" s="5">
        <v>19.0</v>
      </c>
      <c r="BJ21" s="7"/>
      <c r="BK21" s="7"/>
      <c r="BL21" s="6">
        <f>13+150+100</f>
        <v>263</v>
      </c>
      <c r="BM21" s="2">
        <f t="shared" si="11"/>
        <v>1273.01</v>
      </c>
      <c r="BN21" s="2"/>
      <c r="BO21" s="5">
        <v>19.0</v>
      </c>
      <c r="BP21" s="7"/>
      <c r="BQ21" s="7"/>
      <c r="BR21" s="6">
        <f t="shared" si="13"/>
        <v>154.85</v>
      </c>
      <c r="BS21" s="2">
        <f t="shared" si="12"/>
        <v>-147.46</v>
      </c>
    </row>
    <row r="22">
      <c r="A22" s="5">
        <v>20.0</v>
      </c>
      <c r="B22" s="7"/>
      <c r="C22" s="7"/>
      <c r="D22" s="7"/>
      <c r="E22" s="2">
        <f t="shared" si="1"/>
        <v>0</v>
      </c>
      <c r="F22" s="2"/>
      <c r="G22" s="5">
        <v>20.0</v>
      </c>
      <c r="H22" s="7"/>
      <c r="I22" s="7"/>
      <c r="J22" s="7"/>
      <c r="K22" s="2">
        <f t="shared" si="2"/>
        <v>0</v>
      </c>
      <c r="L22" s="2"/>
      <c r="M22" s="5">
        <v>20.0</v>
      </c>
      <c r="N22" s="7"/>
      <c r="O22" s="7"/>
      <c r="P22" s="7"/>
      <c r="Q22" s="2">
        <f t="shared" si="3"/>
        <v>0</v>
      </c>
      <c r="R22" s="2"/>
      <c r="S22" s="5">
        <v>20.0</v>
      </c>
      <c r="T22" s="7"/>
      <c r="U22" s="7"/>
      <c r="V22" s="7"/>
      <c r="W22" s="2">
        <f t="shared" si="4"/>
        <v>0</v>
      </c>
      <c r="X22" s="2"/>
      <c r="Y22" s="5">
        <v>20.0</v>
      </c>
      <c r="Z22" s="7"/>
      <c r="AA22" s="7"/>
      <c r="AB22" s="7"/>
      <c r="AC22" s="2">
        <f t="shared" si="5"/>
        <v>0</v>
      </c>
      <c r="AD22" s="2"/>
      <c r="AE22" s="5">
        <v>20.0</v>
      </c>
      <c r="AF22" s="7"/>
      <c r="AG22" s="7"/>
      <c r="AH22" s="7"/>
      <c r="AI22" s="2">
        <f t="shared" si="6"/>
        <v>0</v>
      </c>
      <c r="AJ22" s="2"/>
      <c r="AK22" s="5">
        <v>20.0</v>
      </c>
      <c r="AL22" s="7"/>
      <c r="AM22" s="7"/>
      <c r="AN22" s="7"/>
      <c r="AO22" s="2">
        <f t="shared" si="7"/>
        <v>0</v>
      </c>
      <c r="AP22" s="2"/>
      <c r="AQ22" s="5">
        <v>20.0</v>
      </c>
      <c r="AR22" s="7"/>
      <c r="AS22" s="7"/>
      <c r="AT22" s="7"/>
      <c r="AU22" s="2">
        <f t="shared" si="8"/>
        <v>0</v>
      </c>
      <c r="AV22" s="2"/>
      <c r="AW22" s="5">
        <v>20.0</v>
      </c>
      <c r="AX22" s="7"/>
      <c r="AY22" s="7"/>
      <c r="AZ22" s="7"/>
      <c r="BA22" s="2">
        <f t="shared" si="9"/>
        <v>0</v>
      </c>
      <c r="BB22" s="2"/>
      <c r="BC22" s="5">
        <v>20.0</v>
      </c>
      <c r="BD22" s="7"/>
      <c r="BE22" s="7"/>
      <c r="BF22" s="7"/>
      <c r="BG22" s="2">
        <f t="shared" si="10"/>
        <v>0</v>
      </c>
      <c r="BH22" s="2"/>
      <c r="BI22" s="5">
        <v>20.0</v>
      </c>
      <c r="BJ22" s="7"/>
      <c r="BK22" s="7"/>
      <c r="BL22" s="6">
        <v>0.0</v>
      </c>
      <c r="BM22" s="2">
        <f t="shared" si="11"/>
        <v>1273.01</v>
      </c>
      <c r="BN22" s="2"/>
      <c r="BO22" s="5">
        <v>20.0</v>
      </c>
      <c r="BP22" s="7"/>
      <c r="BQ22" s="6"/>
      <c r="BR22" s="6">
        <f t="shared" si="13"/>
        <v>154.85</v>
      </c>
      <c r="BS22" s="2">
        <f t="shared" si="12"/>
        <v>-302.31</v>
      </c>
    </row>
    <row r="23">
      <c r="A23" s="5">
        <v>21.0</v>
      </c>
      <c r="B23" s="7"/>
      <c r="C23" s="7"/>
      <c r="D23" s="7"/>
      <c r="E23" s="2">
        <f t="shared" si="1"/>
        <v>0</v>
      </c>
      <c r="F23" s="2"/>
      <c r="G23" s="5">
        <v>21.0</v>
      </c>
      <c r="H23" s="7"/>
      <c r="I23" s="7"/>
      <c r="J23" s="7"/>
      <c r="K23" s="2">
        <f t="shared" si="2"/>
        <v>0</v>
      </c>
      <c r="L23" s="2"/>
      <c r="M23" s="5">
        <v>21.0</v>
      </c>
      <c r="N23" s="7"/>
      <c r="O23" s="7"/>
      <c r="P23" s="7"/>
      <c r="Q23" s="2">
        <f t="shared" si="3"/>
        <v>0</v>
      </c>
      <c r="R23" s="2"/>
      <c r="S23" s="5">
        <v>21.0</v>
      </c>
      <c r="T23" s="7"/>
      <c r="U23" s="7"/>
      <c r="V23" s="7"/>
      <c r="W23" s="2">
        <f t="shared" si="4"/>
        <v>0</v>
      </c>
      <c r="X23" s="2"/>
      <c r="Y23" s="5">
        <v>21.0</v>
      </c>
      <c r="Z23" s="7"/>
      <c r="AA23" s="7"/>
      <c r="AB23" s="7"/>
      <c r="AC23" s="2">
        <f t="shared" si="5"/>
        <v>0</v>
      </c>
      <c r="AD23" s="2"/>
      <c r="AE23" s="5">
        <v>21.0</v>
      </c>
      <c r="AF23" s="7"/>
      <c r="AG23" s="7"/>
      <c r="AH23" s="7"/>
      <c r="AI23" s="2">
        <f t="shared" si="6"/>
        <v>0</v>
      </c>
      <c r="AJ23" s="2"/>
      <c r="AK23" s="5">
        <v>21.0</v>
      </c>
      <c r="AL23" s="7"/>
      <c r="AM23" s="7"/>
      <c r="AN23" s="7"/>
      <c r="AO23" s="2">
        <f t="shared" si="7"/>
        <v>0</v>
      </c>
      <c r="AP23" s="2"/>
      <c r="AQ23" s="5">
        <v>21.0</v>
      </c>
      <c r="AR23" s="7"/>
      <c r="AS23" s="7"/>
      <c r="AT23" s="7"/>
      <c r="AU23" s="2">
        <f t="shared" si="8"/>
        <v>0</v>
      </c>
      <c r="AV23" s="2"/>
      <c r="AW23" s="5">
        <v>21.0</v>
      </c>
      <c r="AX23" s="7"/>
      <c r="AY23" s="7"/>
      <c r="AZ23" s="7"/>
      <c r="BA23" s="2">
        <f t="shared" si="9"/>
        <v>0</v>
      </c>
      <c r="BB23" s="2"/>
      <c r="BC23" s="5">
        <v>21.0</v>
      </c>
      <c r="BD23" s="7"/>
      <c r="BE23" s="7"/>
      <c r="BF23" s="7"/>
      <c r="BG23" s="2">
        <f t="shared" si="10"/>
        <v>0</v>
      </c>
      <c r="BH23" s="2"/>
      <c r="BI23" s="5">
        <v>21.0</v>
      </c>
      <c r="BJ23" s="6">
        <f>17873.9+2380</f>
        <v>20253.9</v>
      </c>
      <c r="BK23" s="7"/>
      <c r="BL23" s="6">
        <f>100+11.99+39.58+192.19+231.82+19.98+30+1100+86.67</f>
        <v>1812.23</v>
      </c>
      <c r="BM23" s="2">
        <f t="shared" si="11"/>
        <v>19714.68</v>
      </c>
      <c r="BN23" s="2"/>
      <c r="BO23" s="5">
        <v>21.0</v>
      </c>
      <c r="BP23" s="6">
        <v>17800.0</v>
      </c>
      <c r="BQ23" s="7"/>
      <c r="BR23" s="6">
        <f t="shared" si="13"/>
        <v>154.85</v>
      </c>
      <c r="BS23" s="2">
        <f t="shared" si="12"/>
        <v>17342.84</v>
      </c>
    </row>
    <row r="24">
      <c r="A24" s="5">
        <v>22.0</v>
      </c>
      <c r="B24" s="7"/>
      <c r="C24" s="7"/>
      <c r="D24" s="7"/>
      <c r="E24" s="2">
        <f t="shared" si="1"/>
        <v>0</v>
      </c>
      <c r="F24" s="2"/>
      <c r="G24" s="5">
        <v>22.0</v>
      </c>
      <c r="H24" s="7"/>
      <c r="I24" s="7"/>
      <c r="J24" s="7"/>
      <c r="K24" s="2">
        <f t="shared" si="2"/>
        <v>0</v>
      </c>
      <c r="L24" s="2"/>
      <c r="M24" s="5">
        <v>22.0</v>
      </c>
      <c r="N24" s="7"/>
      <c r="O24" s="7"/>
      <c r="P24" s="7"/>
      <c r="Q24" s="2">
        <f t="shared" si="3"/>
        <v>0</v>
      </c>
      <c r="R24" s="2"/>
      <c r="S24" s="5">
        <v>22.0</v>
      </c>
      <c r="T24" s="7"/>
      <c r="U24" s="7"/>
      <c r="V24" s="7"/>
      <c r="W24" s="2">
        <f t="shared" si="4"/>
        <v>0</v>
      </c>
      <c r="X24" s="2"/>
      <c r="Y24" s="5">
        <v>22.0</v>
      </c>
      <c r="Z24" s="7"/>
      <c r="AA24" s="7"/>
      <c r="AB24" s="7"/>
      <c r="AC24" s="2">
        <f t="shared" si="5"/>
        <v>0</v>
      </c>
      <c r="AD24" s="2"/>
      <c r="AE24" s="5">
        <v>22.0</v>
      </c>
      <c r="AF24" s="7"/>
      <c r="AG24" s="7"/>
      <c r="AH24" s="7"/>
      <c r="AI24" s="2">
        <f t="shared" si="6"/>
        <v>0</v>
      </c>
      <c r="AJ24" s="2"/>
      <c r="AK24" s="5">
        <v>22.0</v>
      </c>
      <c r="AL24" s="7"/>
      <c r="AM24" s="7"/>
      <c r="AN24" s="7"/>
      <c r="AO24" s="2">
        <f t="shared" si="7"/>
        <v>0</v>
      </c>
      <c r="AP24" s="2"/>
      <c r="AQ24" s="5">
        <v>22.0</v>
      </c>
      <c r="AR24" s="7"/>
      <c r="AS24" s="7"/>
      <c r="AT24" s="7"/>
      <c r="AU24" s="2">
        <f t="shared" si="8"/>
        <v>0</v>
      </c>
      <c r="AV24" s="2"/>
      <c r="AW24" s="5">
        <v>22.0</v>
      </c>
      <c r="AX24" s="7"/>
      <c r="AY24" s="7"/>
      <c r="AZ24" s="7"/>
      <c r="BA24" s="2">
        <f t="shared" si="9"/>
        <v>0</v>
      </c>
      <c r="BB24" s="2"/>
      <c r="BC24" s="5">
        <v>22.0</v>
      </c>
      <c r="BD24" s="7"/>
      <c r="BE24" s="7"/>
      <c r="BF24" s="7"/>
      <c r="BG24" s="2">
        <f t="shared" si="10"/>
        <v>0</v>
      </c>
      <c r="BH24" s="2"/>
      <c r="BI24" s="5">
        <v>22.0</v>
      </c>
      <c r="BJ24" s="7"/>
      <c r="BK24" s="7"/>
      <c r="BL24" s="6">
        <v>0.0</v>
      </c>
      <c r="BM24" s="2">
        <f t="shared" si="11"/>
        <v>19714.68</v>
      </c>
      <c r="BN24" s="2"/>
      <c r="BO24" s="5">
        <v>22.0</v>
      </c>
      <c r="BP24" s="7"/>
      <c r="BQ24" s="6"/>
      <c r="BR24" s="6">
        <f t="shared" si="13"/>
        <v>154.85</v>
      </c>
      <c r="BS24" s="2">
        <f t="shared" si="12"/>
        <v>17187.99</v>
      </c>
    </row>
    <row r="25">
      <c r="A25" s="5">
        <v>23.0</v>
      </c>
      <c r="B25" s="7"/>
      <c r="C25" s="7"/>
      <c r="D25" s="7"/>
      <c r="E25" s="2">
        <f t="shared" si="1"/>
        <v>0</v>
      </c>
      <c r="F25" s="2"/>
      <c r="G25" s="5">
        <v>23.0</v>
      </c>
      <c r="H25" s="7"/>
      <c r="I25" s="7"/>
      <c r="J25" s="7"/>
      <c r="K25" s="2">
        <f t="shared" si="2"/>
        <v>0</v>
      </c>
      <c r="L25" s="2"/>
      <c r="M25" s="5">
        <v>23.0</v>
      </c>
      <c r="N25" s="7"/>
      <c r="O25" s="7"/>
      <c r="P25" s="7"/>
      <c r="Q25" s="2">
        <f t="shared" si="3"/>
        <v>0</v>
      </c>
      <c r="R25" s="2"/>
      <c r="S25" s="5">
        <v>23.0</v>
      </c>
      <c r="T25" s="7"/>
      <c r="U25" s="7"/>
      <c r="V25" s="7"/>
      <c r="W25" s="2">
        <f t="shared" si="4"/>
        <v>0</v>
      </c>
      <c r="X25" s="2"/>
      <c r="Y25" s="5">
        <v>23.0</v>
      </c>
      <c r="Z25" s="7"/>
      <c r="AA25" s="7"/>
      <c r="AB25" s="7"/>
      <c r="AC25" s="2">
        <f t="shared" si="5"/>
        <v>0</v>
      </c>
      <c r="AD25" s="2"/>
      <c r="AE25" s="5">
        <v>23.0</v>
      </c>
      <c r="AF25" s="7"/>
      <c r="AG25" s="7"/>
      <c r="AH25" s="7"/>
      <c r="AI25" s="2">
        <f t="shared" si="6"/>
        <v>0</v>
      </c>
      <c r="AJ25" s="2"/>
      <c r="AK25" s="5">
        <v>23.0</v>
      </c>
      <c r="AL25" s="7"/>
      <c r="AM25" s="7"/>
      <c r="AN25" s="7"/>
      <c r="AO25" s="2">
        <f t="shared" si="7"/>
        <v>0</v>
      </c>
      <c r="AP25" s="2"/>
      <c r="AQ25" s="5">
        <v>23.0</v>
      </c>
      <c r="AR25" s="7"/>
      <c r="AS25" s="7"/>
      <c r="AT25" s="7"/>
      <c r="AU25" s="2">
        <f t="shared" si="8"/>
        <v>0</v>
      </c>
      <c r="AV25" s="2"/>
      <c r="AW25" s="5">
        <v>23.0</v>
      </c>
      <c r="AX25" s="7"/>
      <c r="AY25" s="7"/>
      <c r="AZ25" s="7"/>
      <c r="BA25" s="2">
        <f t="shared" si="9"/>
        <v>0</v>
      </c>
      <c r="BB25" s="2"/>
      <c r="BC25" s="5">
        <v>23.0</v>
      </c>
      <c r="BD25" s="7"/>
      <c r="BE25" s="7"/>
      <c r="BF25" s="7"/>
      <c r="BG25" s="2">
        <f t="shared" si="10"/>
        <v>0</v>
      </c>
      <c r="BH25" s="2"/>
      <c r="BI25" s="5">
        <v>23.0</v>
      </c>
      <c r="BJ25" s="7"/>
      <c r="BK25" s="7">
        <f>178.69+379.8</f>
        <v>558.49</v>
      </c>
      <c r="BL25" s="6">
        <v>0.0</v>
      </c>
      <c r="BM25" s="2">
        <f t="shared" si="11"/>
        <v>19156.19</v>
      </c>
      <c r="BN25" s="2"/>
      <c r="BO25" s="5">
        <v>23.0</v>
      </c>
      <c r="BP25" s="7"/>
      <c r="BQ25" s="7">
        <f>178.69+379.8</f>
        <v>558.49</v>
      </c>
      <c r="BR25" s="6">
        <f t="shared" si="13"/>
        <v>154.85</v>
      </c>
      <c r="BS25" s="2">
        <f t="shared" si="12"/>
        <v>16474.65</v>
      </c>
    </row>
    <row r="26">
      <c r="A26" s="5">
        <v>24.0</v>
      </c>
      <c r="B26" s="7"/>
      <c r="C26" s="7"/>
      <c r="D26" s="7"/>
      <c r="E26" s="2">
        <f t="shared" si="1"/>
        <v>0</v>
      </c>
      <c r="F26" s="2"/>
      <c r="G26" s="5">
        <v>24.0</v>
      </c>
      <c r="H26" s="7"/>
      <c r="I26" s="7"/>
      <c r="J26" s="7"/>
      <c r="K26" s="2">
        <f t="shared" si="2"/>
        <v>0</v>
      </c>
      <c r="L26" s="2"/>
      <c r="M26" s="5">
        <v>24.0</v>
      </c>
      <c r="N26" s="7"/>
      <c r="O26" s="7"/>
      <c r="P26" s="7"/>
      <c r="Q26" s="2">
        <f t="shared" si="3"/>
        <v>0</v>
      </c>
      <c r="R26" s="2"/>
      <c r="S26" s="5">
        <v>24.0</v>
      </c>
      <c r="T26" s="7"/>
      <c r="U26" s="7"/>
      <c r="V26" s="7"/>
      <c r="W26" s="2">
        <f t="shared" si="4"/>
        <v>0</v>
      </c>
      <c r="X26" s="2"/>
      <c r="Y26" s="5">
        <v>24.0</v>
      </c>
      <c r="Z26" s="7"/>
      <c r="AA26" s="7"/>
      <c r="AB26" s="7"/>
      <c r="AC26" s="2">
        <f t="shared" si="5"/>
        <v>0</v>
      </c>
      <c r="AD26" s="2"/>
      <c r="AE26" s="5">
        <v>24.0</v>
      </c>
      <c r="AF26" s="7"/>
      <c r="AG26" s="7"/>
      <c r="AH26" s="7"/>
      <c r="AI26" s="2">
        <f t="shared" si="6"/>
        <v>0</v>
      </c>
      <c r="AJ26" s="2"/>
      <c r="AK26" s="5">
        <v>24.0</v>
      </c>
      <c r="AL26" s="7"/>
      <c r="AM26" s="7"/>
      <c r="AN26" s="7"/>
      <c r="AO26" s="2">
        <f t="shared" si="7"/>
        <v>0</v>
      </c>
      <c r="AP26" s="2"/>
      <c r="AQ26" s="5">
        <v>24.0</v>
      </c>
      <c r="AR26" s="7"/>
      <c r="AS26" s="7"/>
      <c r="AT26" s="7"/>
      <c r="AU26" s="2">
        <f t="shared" si="8"/>
        <v>0</v>
      </c>
      <c r="AV26" s="2"/>
      <c r="AW26" s="5">
        <v>24.0</v>
      </c>
      <c r="AX26" s="7"/>
      <c r="AY26" s="7"/>
      <c r="AZ26" s="7"/>
      <c r="BA26" s="2">
        <f t="shared" si="9"/>
        <v>0</v>
      </c>
      <c r="BB26" s="2"/>
      <c r="BC26" s="5">
        <v>24.0</v>
      </c>
      <c r="BD26" s="7"/>
      <c r="BE26" s="7"/>
      <c r="BF26" s="7"/>
      <c r="BG26" s="2">
        <f t="shared" si="10"/>
        <v>0</v>
      </c>
      <c r="BH26" s="2"/>
      <c r="BI26" s="5">
        <v>24.0</v>
      </c>
      <c r="BJ26" s="6">
        <v>65.0</v>
      </c>
      <c r="BK26" s="9">
        <f>522.59+4220.62+1572.16+27+133.5+147.36+27+72+27.97+94.47+163.06+26+197.41</f>
        <v>7231.14</v>
      </c>
      <c r="BL26" s="6">
        <f>100+280+50+7</f>
        <v>437</v>
      </c>
      <c r="BM26" s="2">
        <f t="shared" si="11"/>
        <v>11553.05</v>
      </c>
      <c r="BN26" s="2"/>
      <c r="BO26" s="5">
        <v>24.0</v>
      </c>
      <c r="BP26" s="7"/>
      <c r="BQ26" s="9">
        <f>167.01+905.91+333.16+74.87+27+68.2+23.1+35.38+46.3+65.62+213.88+20.68+105.98+48+116.27+17.67+74.48+156.6+134.04+162.77+79.1+57.9+100+49.9+156.5+27+23.4+36.36+46.19+146.53+48.85+119.92+27+31.69+2.94+24.3+120+17+187.99+32.37+85.42+37.82+32+190.5+116.82+53.8+474.7+47.3+106.89+254.4+95.8+120+109.98+125.99+223.71+29.75+39.87+33.4+19.9+48.85+10.92+78.24+76.39</f>
        <v>6544.31</v>
      </c>
      <c r="BR26" s="6">
        <f t="shared" si="13"/>
        <v>154.85</v>
      </c>
      <c r="BS26" s="2">
        <f t="shared" si="12"/>
        <v>9775.49</v>
      </c>
    </row>
    <row r="27">
      <c r="A27" s="5">
        <v>25.0</v>
      </c>
      <c r="B27" s="7"/>
      <c r="C27" s="7"/>
      <c r="D27" s="7"/>
      <c r="E27" s="2">
        <f t="shared" si="1"/>
        <v>0</v>
      </c>
      <c r="F27" s="2"/>
      <c r="G27" s="5">
        <v>25.0</v>
      </c>
      <c r="H27" s="7"/>
      <c r="I27" s="7"/>
      <c r="J27" s="7"/>
      <c r="K27" s="2">
        <f t="shared" si="2"/>
        <v>0</v>
      </c>
      <c r="L27" s="2"/>
      <c r="M27" s="5">
        <v>25.0</v>
      </c>
      <c r="N27" s="7"/>
      <c r="O27" s="7"/>
      <c r="P27" s="7"/>
      <c r="Q27" s="2">
        <f t="shared" si="3"/>
        <v>0</v>
      </c>
      <c r="R27" s="2"/>
      <c r="S27" s="5">
        <v>25.0</v>
      </c>
      <c r="T27" s="7"/>
      <c r="U27" s="7"/>
      <c r="V27" s="7"/>
      <c r="W27" s="2">
        <f t="shared" si="4"/>
        <v>0</v>
      </c>
      <c r="X27" s="2"/>
      <c r="Y27" s="5">
        <v>25.0</v>
      </c>
      <c r="Z27" s="7"/>
      <c r="AA27" s="7"/>
      <c r="AB27" s="7"/>
      <c r="AC27" s="2">
        <f t="shared" si="5"/>
        <v>0</v>
      </c>
      <c r="AD27" s="2"/>
      <c r="AE27" s="5">
        <v>25.0</v>
      </c>
      <c r="AF27" s="7"/>
      <c r="AG27" s="7"/>
      <c r="AH27" s="7"/>
      <c r="AI27" s="2">
        <f t="shared" si="6"/>
        <v>0</v>
      </c>
      <c r="AJ27" s="2"/>
      <c r="AK27" s="5">
        <v>25.0</v>
      </c>
      <c r="AL27" s="7"/>
      <c r="AM27" s="7"/>
      <c r="AN27" s="7"/>
      <c r="AO27" s="2">
        <f t="shared" si="7"/>
        <v>0</v>
      </c>
      <c r="AP27" s="2"/>
      <c r="AQ27" s="5">
        <v>25.0</v>
      </c>
      <c r="AR27" s="7"/>
      <c r="AS27" s="7"/>
      <c r="AT27" s="7"/>
      <c r="AU27" s="2">
        <f t="shared" si="8"/>
        <v>0</v>
      </c>
      <c r="AV27" s="2"/>
      <c r="AW27" s="5">
        <v>25.0</v>
      </c>
      <c r="AX27" s="7"/>
      <c r="AY27" s="7"/>
      <c r="AZ27" s="7"/>
      <c r="BA27" s="2">
        <f t="shared" si="9"/>
        <v>0</v>
      </c>
      <c r="BB27" s="2"/>
      <c r="BC27" s="5">
        <v>25.0</v>
      </c>
      <c r="BD27" s="7"/>
      <c r="BE27" s="7"/>
      <c r="BF27" s="7"/>
      <c r="BG27" s="2">
        <f t="shared" si="10"/>
        <v>0</v>
      </c>
      <c r="BH27" s="2"/>
      <c r="BI27" s="5">
        <v>25.0</v>
      </c>
      <c r="BJ27" s="7"/>
      <c r="BK27" s="9">
        <f>287.84-31.23</f>
        <v>256.61</v>
      </c>
      <c r="BL27" s="6">
        <f>50+28.94+100</f>
        <v>178.94</v>
      </c>
      <c r="BM27" s="2">
        <f t="shared" si="11"/>
        <v>11117.5</v>
      </c>
      <c r="BN27" s="2"/>
      <c r="BO27" s="5">
        <v>25.0</v>
      </c>
      <c r="BP27" s="7"/>
      <c r="BQ27" s="10"/>
      <c r="BR27" s="6">
        <f t="shared" si="13"/>
        <v>154.85</v>
      </c>
      <c r="BS27" s="2">
        <f t="shared" si="12"/>
        <v>9620.64</v>
      </c>
    </row>
    <row r="28">
      <c r="A28" s="5">
        <v>26.0</v>
      </c>
      <c r="B28" s="7"/>
      <c r="C28" s="7"/>
      <c r="D28" s="7"/>
      <c r="E28" s="2">
        <f t="shared" si="1"/>
        <v>0</v>
      </c>
      <c r="F28" s="2"/>
      <c r="G28" s="5">
        <v>26.0</v>
      </c>
      <c r="H28" s="7"/>
      <c r="I28" s="7"/>
      <c r="J28" s="7"/>
      <c r="K28" s="2">
        <f t="shared" si="2"/>
        <v>0</v>
      </c>
      <c r="L28" s="2"/>
      <c r="M28" s="5">
        <v>26.0</v>
      </c>
      <c r="N28" s="7"/>
      <c r="O28" s="7"/>
      <c r="P28" s="7"/>
      <c r="Q28" s="2">
        <f t="shared" si="3"/>
        <v>0</v>
      </c>
      <c r="R28" s="2"/>
      <c r="S28" s="5">
        <v>26.0</v>
      </c>
      <c r="T28" s="7"/>
      <c r="U28" s="7"/>
      <c r="V28" s="7"/>
      <c r="W28" s="2">
        <f t="shared" si="4"/>
        <v>0</v>
      </c>
      <c r="X28" s="2"/>
      <c r="Y28" s="5">
        <v>26.0</v>
      </c>
      <c r="Z28" s="7"/>
      <c r="AA28" s="7"/>
      <c r="AB28" s="7"/>
      <c r="AC28" s="2">
        <f t="shared" si="5"/>
        <v>0</v>
      </c>
      <c r="AD28" s="2"/>
      <c r="AE28" s="5">
        <v>26.0</v>
      </c>
      <c r="AF28" s="7"/>
      <c r="AG28" s="7"/>
      <c r="AH28" s="7"/>
      <c r="AI28" s="2">
        <f t="shared" si="6"/>
        <v>0</v>
      </c>
      <c r="AJ28" s="2"/>
      <c r="AK28" s="5">
        <v>26.0</v>
      </c>
      <c r="AL28" s="7"/>
      <c r="AM28" s="7"/>
      <c r="AN28" s="7"/>
      <c r="AO28" s="2">
        <f t="shared" si="7"/>
        <v>0</v>
      </c>
      <c r="AP28" s="2"/>
      <c r="AQ28" s="5">
        <v>26.0</v>
      </c>
      <c r="AR28" s="7"/>
      <c r="AS28" s="7"/>
      <c r="AT28" s="7"/>
      <c r="AU28" s="2">
        <f t="shared" si="8"/>
        <v>0</v>
      </c>
      <c r="AV28" s="2"/>
      <c r="AW28" s="5">
        <v>26.0</v>
      </c>
      <c r="AX28" s="7"/>
      <c r="AY28" s="7"/>
      <c r="AZ28" s="7"/>
      <c r="BA28" s="2">
        <f t="shared" si="9"/>
        <v>0</v>
      </c>
      <c r="BB28" s="2"/>
      <c r="BC28" s="5">
        <v>26.0</v>
      </c>
      <c r="BD28" s="7"/>
      <c r="BE28" s="7"/>
      <c r="BF28" s="7"/>
      <c r="BG28" s="2">
        <f t="shared" si="10"/>
        <v>0</v>
      </c>
      <c r="BH28" s="2"/>
      <c r="BI28" s="5">
        <v>26.0</v>
      </c>
      <c r="BJ28" s="6">
        <f>130+130+65</f>
        <v>325</v>
      </c>
      <c r="BK28" s="7">
        <f>4230+103+30+110+45</f>
        <v>4518</v>
      </c>
      <c r="BL28" s="6">
        <v>0.0</v>
      </c>
      <c r="BM28" s="2">
        <f t="shared" si="11"/>
        <v>6924.5</v>
      </c>
      <c r="BN28" s="2"/>
      <c r="BO28" s="5">
        <v>26.0</v>
      </c>
      <c r="BP28" s="7"/>
      <c r="BQ28" s="7">
        <f>4230+103+30+110+45</f>
        <v>4518</v>
      </c>
      <c r="BR28" s="6">
        <f t="shared" si="13"/>
        <v>154.85</v>
      </c>
      <c r="BS28" s="2">
        <f t="shared" si="12"/>
        <v>4947.79</v>
      </c>
    </row>
    <row r="29">
      <c r="A29" s="5">
        <v>27.0</v>
      </c>
      <c r="B29" s="7"/>
      <c r="C29" s="7"/>
      <c r="D29" s="7"/>
      <c r="E29" s="2">
        <f t="shared" si="1"/>
        <v>0</v>
      </c>
      <c r="F29" s="2"/>
      <c r="G29" s="5">
        <v>27.0</v>
      </c>
      <c r="H29" s="7"/>
      <c r="I29" s="7"/>
      <c r="J29" s="7"/>
      <c r="K29" s="2">
        <f t="shared" si="2"/>
        <v>0</v>
      </c>
      <c r="L29" s="2"/>
      <c r="M29" s="5">
        <v>27.0</v>
      </c>
      <c r="N29" s="7"/>
      <c r="O29" s="7"/>
      <c r="P29" s="7"/>
      <c r="Q29" s="2">
        <f t="shared" si="3"/>
        <v>0</v>
      </c>
      <c r="R29" s="2"/>
      <c r="S29" s="5">
        <v>27.0</v>
      </c>
      <c r="T29" s="7"/>
      <c r="U29" s="7"/>
      <c r="V29" s="7"/>
      <c r="W29" s="2">
        <f t="shared" si="4"/>
        <v>0</v>
      </c>
      <c r="X29" s="2"/>
      <c r="Y29" s="5">
        <v>27.0</v>
      </c>
      <c r="Z29" s="7"/>
      <c r="AA29" s="7"/>
      <c r="AB29" s="7"/>
      <c r="AC29" s="2">
        <f t="shared" si="5"/>
        <v>0</v>
      </c>
      <c r="AD29" s="2"/>
      <c r="AE29" s="5">
        <v>27.0</v>
      </c>
      <c r="AF29" s="7"/>
      <c r="AG29" s="7"/>
      <c r="AH29" s="7"/>
      <c r="AI29" s="2">
        <f t="shared" si="6"/>
        <v>0</v>
      </c>
      <c r="AJ29" s="2"/>
      <c r="AK29" s="5">
        <v>27.0</v>
      </c>
      <c r="AL29" s="7"/>
      <c r="AM29" s="7"/>
      <c r="AN29" s="7"/>
      <c r="AO29" s="2">
        <f t="shared" si="7"/>
        <v>0</v>
      </c>
      <c r="AP29" s="2"/>
      <c r="AQ29" s="5">
        <v>27.0</v>
      </c>
      <c r="AR29" s="7"/>
      <c r="AS29" s="7"/>
      <c r="AT29" s="7"/>
      <c r="AU29" s="2">
        <f t="shared" si="8"/>
        <v>0</v>
      </c>
      <c r="AV29" s="2"/>
      <c r="AW29" s="5">
        <v>27.0</v>
      </c>
      <c r="AX29" s="7"/>
      <c r="AY29" s="7"/>
      <c r="AZ29" s="7"/>
      <c r="BA29" s="2">
        <f t="shared" si="9"/>
        <v>0</v>
      </c>
      <c r="BB29" s="2"/>
      <c r="BC29" s="5">
        <v>27.0</v>
      </c>
      <c r="BD29" s="7"/>
      <c r="BE29" s="7"/>
      <c r="BF29" s="7"/>
      <c r="BG29" s="2">
        <f t="shared" si="10"/>
        <v>0</v>
      </c>
      <c r="BH29" s="2"/>
      <c r="BI29" s="5">
        <v>27.0</v>
      </c>
      <c r="BJ29" s="7"/>
      <c r="BK29" s="7"/>
      <c r="BL29" s="6">
        <f>50+6.65+150</f>
        <v>206.65</v>
      </c>
      <c r="BM29" s="2">
        <f t="shared" si="11"/>
        <v>6717.85</v>
      </c>
      <c r="BN29" s="2"/>
      <c r="BO29" s="5">
        <v>27.0</v>
      </c>
      <c r="BP29" s="7"/>
      <c r="BQ29" s="7"/>
      <c r="BR29" s="6">
        <f t="shared" si="13"/>
        <v>154.85</v>
      </c>
      <c r="BS29" s="2">
        <f t="shared" si="12"/>
        <v>4792.94</v>
      </c>
    </row>
    <row r="30">
      <c r="A30" s="5">
        <v>28.0</v>
      </c>
      <c r="B30" s="7"/>
      <c r="C30" s="7"/>
      <c r="D30" s="7"/>
      <c r="E30" s="2">
        <f t="shared" si="1"/>
        <v>0</v>
      </c>
      <c r="F30" s="2"/>
      <c r="G30" s="5">
        <v>28.0</v>
      </c>
      <c r="H30" s="7"/>
      <c r="I30" s="7"/>
      <c r="J30" s="7"/>
      <c r="K30" s="2">
        <f t="shared" si="2"/>
        <v>0</v>
      </c>
      <c r="L30" s="2"/>
      <c r="M30" s="5">
        <v>28.0</v>
      </c>
      <c r="N30" s="7"/>
      <c r="O30" s="7"/>
      <c r="P30" s="7"/>
      <c r="Q30" s="2">
        <f t="shared" si="3"/>
        <v>0</v>
      </c>
      <c r="R30" s="2"/>
      <c r="S30" s="5">
        <v>28.0</v>
      </c>
      <c r="T30" s="7"/>
      <c r="U30" s="7"/>
      <c r="V30" s="7"/>
      <c r="W30" s="2">
        <f t="shared" si="4"/>
        <v>0</v>
      </c>
      <c r="X30" s="2"/>
      <c r="Y30" s="5">
        <v>28.0</v>
      </c>
      <c r="Z30" s="7"/>
      <c r="AA30" s="7"/>
      <c r="AB30" s="7"/>
      <c r="AC30" s="2">
        <f t="shared" si="5"/>
        <v>0</v>
      </c>
      <c r="AD30" s="2"/>
      <c r="AE30" s="5">
        <v>28.0</v>
      </c>
      <c r="AF30" s="7"/>
      <c r="AG30" s="7"/>
      <c r="AH30" s="7"/>
      <c r="AI30" s="2">
        <f t="shared" si="6"/>
        <v>0</v>
      </c>
      <c r="AJ30" s="2"/>
      <c r="AK30" s="5">
        <v>28.0</v>
      </c>
      <c r="AL30" s="7"/>
      <c r="AM30" s="7"/>
      <c r="AN30" s="7"/>
      <c r="AO30" s="2">
        <f t="shared" si="7"/>
        <v>0</v>
      </c>
      <c r="AP30" s="2"/>
      <c r="AQ30" s="5">
        <v>28.0</v>
      </c>
      <c r="AR30" s="7"/>
      <c r="AS30" s="7"/>
      <c r="AT30" s="7"/>
      <c r="AU30" s="2">
        <f t="shared" si="8"/>
        <v>0</v>
      </c>
      <c r="AV30" s="2"/>
      <c r="AW30" s="5">
        <v>28.0</v>
      </c>
      <c r="AX30" s="7"/>
      <c r="AY30" s="7"/>
      <c r="AZ30" s="7"/>
      <c r="BA30" s="2">
        <f t="shared" si="9"/>
        <v>0</v>
      </c>
      <c r="BB30" s="2"/>
      <c r="BC30" s="5">
        <v>28.0</v>
      </c>
      <c r="BD30" s="7"/>
      <c r="BE30" s="7"/>
      <c r="BF30" s="7"/>
      <c r="BG30" s="2">
        <f t="shared" si="10"/>
        <v>0</v>
      </c>
      <c r="BH30" s="2"/>
      <c r="BI30" s="5">
        <v>28.0</v>
      </c>
      <c r="BJ30" s="7"/>
      <c r="BK30" s="7"/>
      <c r="BL30" s="6">
        <f>100+100+5.49+22.31</f>
        <v>227.8</v>
      </c>
      <c r="BM30" s="2">
        <f t="shared" si="11"/>
        <v>6490.05</v>
      </c>
      <c r="BN30" s="2"/>
      <c r="BO30" s="5">
        <v>28.0</v>
      </c>
      <c r="BP30" s="7"/>
      <c r="BQ30" s="7"/>
      <c r="BR30" s="6">
        <f t="shared" si="13"/>
        <v>154.85</v>
      </c>
      <c r="BS30" s="2">
        <f t="shared" si="12"/>
        <v>4638.09</v>
      </c>
    </row>
    <row r="31">
      <c r="A31" s="5">
        <v>29.0</v>
      </c>
      <c r="B31" s="7"/>
      <c r="C31" s="7"/>
      <c r="D31" s="7"/>
      <c r="E31" s="2">
        <f t="shared" si="1"/>
        <v>0</v>
      </c>
      <c r="F31" s="2"/>
      <c r="G31" s="5">
        <v>29.0</v>
      </c>
      <c r="H31" s="7"/>
      <c r="I31" s="7"/>
      <c r="J31" s="7"/>
      <c r="K31" s="2">
        <f t="shared" si="2"/>
        <v>0</v>
      </c>
      <c r="L31" s="2"/>
      <c r="M31" s="5">
        <v>29.0</v>
      </c>
      <c r="N31" s="7"/>
      <c r="O31" s="7"/>
      <c r="P31" s="7"/>
      <c r="Q31" s="2">
        <f t="shared" si="3"/>
        <v>0</v>
      </c>
      <c r="R31" s="2"/>
      <c r="S31" s="5">
        <v>29.0</v>
      </c>
      <c r="T31" s="7"/>
      <c r="U31" s="7"/>
      <c r="V31" s="7"/>
      <c r="W31" s="2">
        <f t="shared" si="4"/>
        <v>0</v>
      </c>
      <c r="X31" s="2"/>
      <c r="Y31" s="5">
        <v>29.0</v>
      </c>
      <c r="Z31" s="7"/>
      <c r="AA31" s="7"/>
      <c r="AB31" s="7"/>
      <c r="AC31" s="2">
        <f t="shared" si="5"/>
        <v>0</v>
      </c>
      <c r="AD31" s="2"/>
      <c r="AE31" s="5">
        <v>29.0</v>
      </c>
      <c r="AF31" s="7"/>
      <c r="AG31" s="7"/>
      <c r="AH31" s="7"/>
      <c r="AI31" s="2">
        <f t="shared" si="6"/>
        <v>0</v>
      </c>
      <c r="AJ31" s="2"/>
      <c r="AK31" s="5">
        <v>29.0</v>
      </c>
      <c r="AL31" s="7"/>
      <c r="AM31" s="7"/>
      <c r="AN31" s="7"/>
      <c r="AO31" s="2">
        <f t="shared" si="7"/>
        <v>0</v>
      </c>
      <c r="AP31" s="2"/>
      <c r="AQ31" s="5">
        <v>29.0</v>
      </c>
      <c r="AR31" s="7"/>
      <c r="AS31" s="7"/>
      <c r="AT31" s="7"/>
      <c r="AU31" s="2">
        <f t="shared" si="8"/>
        <v>0</v>
      </c>
      <c r="AV31" s="2"/>
      <c r="AW31" s="5">
        <v>29.0</v>
      </c>
      <c r="AX31" s="7"/>
      <c r="AY31" s="7"/>
      <c r="AZ31" s="7"/>
      <c r="BA31" s="2">
        <f t="shared" si="9"/>
        <v>0</v>
      </c>
      <c r="BB31" s="2"/>
      <c r="BC31" s="5">
        <v>29.0</v>
      </c>
      <c r="BD31" s="7"/>
      <c r="BE31" s="7"/>
      <c r="BF31" s="7"/>
      <c r="BG31" s="2">
        <f t="shared" si="10"/>
        <v>0</v>
      </c>
      <c r="BH31" s="2"/>
      <c r="BI31" s="5">
        <v>29.0</v>
      </c>
      <c r="BJ31" s="7"/>
      <c r="BK31" s="7"/>
      <c r="BL31" s="6">
        <v>0.0</v>
      </c>
      <c r="BM31" s="2">
        <f t="shared" si="11"/>
        <v>6490.05</v>
      </c>
      <c r="BN31" s="2"/>
      <c r="BO31" s="5">
        <v>29.0</v>
      </c>
      <c r="BP31" s="7"/>
      <c r="BQ31" s="7"/>
      <c r="BR31" s="6">
        <f t="shared" si="13"/>
        <v>154.85</v>
      </c>
      <c r="BS31" s="2">
        <f t="shared" si="12"/>
        <v>4483.24</v>
      </c>
    </row>
    <row r="32">
      <c r="A32" s="5">
        <v>30.0</v>
      </c>
      <c r="B32" s="7"/>
      <c r="C32" s="7"/>
      <c r="D32" s="7"/>
      <c r="E32" s="2">
        <f t="shared" si="1"/>
        <v>0</v>
      </c>
      <c r="F32" s="2"/>
      <c r="G32" s="5">
        <v>30.0</v>
      </c>
      <c r="H32" s="7"/>
      <c r="I32" s="7"/>
      <c r="J32" s="7"/>
      <c r="K32" s="2">
        <f t="shared" si="2"/>
        <v>0</v>
      </c>
      <c r="L32" s="2"/>
      <c r="M32" s="5">
        <v>30.0</v>
      </c>
      <c r="N32" s="7"/>
      <c r="O32" s="7"/>
      <c r="P32" s="7"/>
      <c r="Q32" s="2">
        <f t="shared" si="3"/>
        <v>0</v>
      </c>
      <c r="R32" s="2"/>
      <c r="S32" s="5">
        <v>30.0</v>
      </c>
      <c r="T32" s="7"/>
      <c r="U32" s="7"/>
      <c r="V32" s="7"/>
      <c r="W32" s="2">
        <f t="shared" si="4"/>
        <v>0</v>
      </c>
      <c r="X32" s="2"/>
      <c r="Y32" s="5">
        <v>30.0</v>
      </c>
      <c r="Z32" s="7"/>
      <c r="AA32" s="7"/>
      <c r="AB32" s="7"/>
      <c r="AC32" s="2">
        <f t="shared" si="5"/>
        <v>0</v>
      </c>
      <c r="AD32" s="2"/>
      <c r="AE32" s="5">
        <v>30.0</v>
      </c>
      <c r="AF32" s="7"/>
      <c r="AG32" s="7"/>
      <c r="AH32" s="7"/>
      <c r="AI32" s="2">
        <f t="shared" si="6"/>
        <v>0</v>
      </c>
      <c r="AJ32" s="2"/>
      <c r="AK32" s="5">
        <v>30.0</v>
      </c>
      <c r="AL32" s="7"/>
      <c r="AM32" s="7"/>
      <c r="AN32" s="7"/>
      <c r="AO32" s="2">
        <f t="shared" si="7"/>
        <v>0</v>
      </c>
      <c r="AP32" s="2"/>
      <c r="AQ32" s="5">
        <v>30.0</v>
      </c>
      <c r="AR32" s="7"/>
      <c r="AS32" s="7"/>
      <c r="AT32" s="7"/>
      <c r="AU32" s="2">
        <f t="shared" si="8"/>
        <v>0</v>
      </c>
      <c r="AV32" s="2"/>
      <c r="AW32" s="5">
        <v>30.0</v>
      </c>
      <c r="AX32" s="7"/>
      <c r="AY32" s="7"/>
      <c r="AZ32" s="7"/>
      <c r="BA32" s="2">
        <f t="shared" si="9"/>
        <v>0</v>
      </c>
      <c r="BB32" s="2"/>
      <c r="BC32" s="5">
        <v>30.0</v>
      </c>
      <c r="BD32" s="7"/>
      <c r="BE32" s="7"/>
      <c r="BF32" s="7"/>
      <c r="BG32" s="2">
        <f t="shared" si="10"/>
        <v>0</v>
      </c>
      <c r="BH32" s="2"/>
      <c r="BI32" s="5">
        <v>30.0</v>
      </c>
      <c r="BJ32" s="7"/>
      <c r="BK32" s="7"/>
      <c r="BL32" s="6">
        <v>0.0</v>
      </c>
      <c r="BM32" s="2">
        <f t="shared" si="11"/>
        <v>6490.05</v>
      </c>
      <c r="BN32" s="2"/>
      <c r="BO32" s="5">
        <v>30.0</v>
      </c>
      <c r="BP32" s="7"/>
      <c r="BQ32" s="7"/>
      <c r="BR32" s="6">
        <f t="shared" si="13"/>
        <v>154.85</v>
      </c>
      <c r="BS32" s="2">
        <f t="shared" si="12"/>
        <v>4328.39</v>
      </c>
    </row>
    <row r="33">
      <c r="A33" s="5">
        <v>31.0</v>
      </c>
      <c r="B33" s="7"/>
      <c r="C33" s="7"/>
      <c r="D33" s="7"/>
      <c r="E33" s="2">
        <f t="shared" si="1"/>
        <v>0</v>
      </c>
      <c r="F33" s="2"/>
      <c r="G33" s="5">
        <v>31.0</v>
      </c>
      <c r="H33" s="7"/>
      <c r="I33" s="7"/>
      <c r="J33" s="7"/>
      <c r="K33" s="2">
        <f t="shared" si="2"/>
        <v>0</v>
      </c>
      <c r="L33" s="2"/>
      <c r="M33" s="5">
        <v>31.0</v>
      </c>
      <c r="N33" s="7"/>
      <c r="O33" s="7"/>
      <c r="P33" s="7"/>
      <c r="Q33" s="2">
        <f t="shared" si="3"/>
        <v>0</v>
      </c>
      <c r="R33" s="2"/>
      <c r="S33" s="5">
        <v>31.0</v>
      </c>
      <c r="T33" s="7"/>
      <c r="U33" s="7"/>
      <c r="V33" s="7"/>
      <c r="W33" s="2">
        <f t="shared" si="4"/>
        <v>0</v>
      </c>
      <c r="X33" s="2"/>
      <c r="Y33" s="5">
        <v>31.0</v>
      </c>
      <c r="Z33" s="7"/>
      <c r="AA33" s="7"/>
      <c r="AB33" s="7"/>
      <c r="AC33" s="2">
        <f t="shared" si="5"/>
        <v>0</v>
      </c>
      <c r="AD33" s="2"/>
      <c r="AE33" s="5">
        <v>31.0</v>
      </c>
      <c r="AF33" s="7"/>
      <c r="AG33" s="7"/>
      <c r="AH33" s="7"/>
      <c r="AI33" s="2">
        <f t="shared" si="6"/>
        <v>0</v>
      </c>
      <c r="AJ33" s="2"/>
      <c r="AK33" s="5">
        <v>31.0</v>
      </c>
      <c r="AL33" s="7"/>
      <c r="AM33" s="7"/>
      <c r="AN33" s="7"/>
      <c r="AO33" s="2">
        <f t="shared" si="7"/>
        <v>0</v>
      </c>
      <c r="AP33" s="2"/>
      <c r="AQ33" s="5">
        <v>31.0</v>
      </c>
      <c r="AR33" s="7"/>
      <c r="AS33" s="7"/>
      <c r="AT33" s="7"/>
      <c r="AU33" s="2">
        <f t="shared" si="8"/>
        <v>0</v>
      </c>
      <c r="AV33" s="2"/>
      <c r="AW33" s="5">
        <v>31.0</v>
      </c>
      <c r="AX33" s="7"/>
      <c r="AY33" s="7"/>
      <c r="AZ33" s="7"/>
      <c r="BA33" s="2">
        <f t="shared" si="9"/>
        <v>0</v>
      </c>
      <c r="BB33" s="2"/>
      <c r="BC33" s="5">
        <v>31.0</v>
      </c>
      <c r="BD33" s="7"/>
      <c r="BE33" s="7"/>
      <c r="BF33" s="7"/>
      <c r="BG33" s="2">
        <f t="shared" si="10"/>
        <v>0</v>
      </c>
      <c r="BH33" s="2"/>
      <c r="BI33" s="5">
        <v>31.0</v>
      </c>
      <c r="BJ33" s="7"/>
      <c r="BK33" s="7"/>
      <c r="BL33" s="6">
        <v>0.0</v>
      </c>
      <c r="BM33" s="2">
        <f t="shared" si="11"/>
        <v>6490.05</v>
      </c>
      <c r="BN33" s="2"/>
      <c r="BO33" s="5">
        <v>31.0</v>
      </c>
      <c r="BP33" s="7"/>
      <c r="BQ33" s="7"/>
      <c r="BR33" s="6">
        <f t="shared" si="13"/>
        <v>154.85</v>
      </c>
      <c r="BS33" s="2">
        <f t="shared" si="12"/>
        <v>4173.54</v>
      </c>
    </row>
    <row r="34">
      <c r="A34" s="11"/>
      <c r="B34" s="2"/>
      <c r="C34" s="2"/>
      <c r="D34" s="2"/>
      <c r="E34" s="2"/>
      <c r="F34" s="2"/>
      <c r="G34" s="2"/>
      <c r="H34" s="2"/>
      <c r="I34" s="2"/>
      <c r="J34" s="2"/>
      <c r="K34" s="8"/>
      <c r="L34" s="2"/>
      <c r="M34" s="11"/>
      <c r="N34" s="2"/>
      <c r="O34" s="2"/>
      <c r="P34" s="2"/>
      <c r="Q34" s="8"/>
      <c r="R34" s="2"/>
      <c r="S34" s="11"/>
      <c r="T34" s="2"/>
      <c r="U34" s="2"/>
      <c r="V34" s="2"/>
      <c r="W34" s="2"/>
      <c r="X34" s="2"/>
      <c r="Y34" s="11"/>
      <c r="Z34" s="2"/>
      <c r="AA34" s="2"/>
      <c r="AB34" s="2"/>
      <c r="AC34" s="2"/>
      <c r="AD34" s="2"/>
      <c r="AE34" s="11"/>
      <c r="AF34" s="2"/>
      <c r="AG34" s="2"/>
      <c r="AH34" s="2"/>
      <c r="AI34" s="2"/>
      <c r="AJ34" s="2"/>
      <c r="AK34" s="11"/>
      <c r="AL34" s="2"/>
      <c r="AM34" s="2"/>
      <c r="AN34" s="2"/>
      <c r="AO34" s="2"/>
      <c r="AP34" s="2"/>
      <c r="AQ34" s="11"/>
      <c r="AR34" s="2"/>
      <c r="AS34" s="2"/>
      <c r="AT34" s="2"/>
      <c r="AU34" s="2"/>
      <c r="AV34" s="2"/>
      <c r="AW34" s="11"/>
      <c r="AX34" s="2"/>
      <c r="AY34" s="2"/>
      <c r="AZ34" s="2"/>
      <c r="BA34" s="2"/>
      <c r="BB34" s="2"/>
      <c r="BC34" s="11"/>
      <c r="BD34" s="2"/>
      <c r="BE34" s="2"/>
      <c r="BF34" s="2"/>
      <c r="BG34" s="2"/>
      <c r="BH34" s="2"/>
      <c r="BI34" s="11"/>
      <c r="BJ34" s="2"/>
      <c r="BK34" s="2"/>
      <c r="BL34" s="2"/>
      <c r="BM34" s="2"/>
      <c r="BN34" s="2"/>
      <c r="BO34" s="11"/>
      <c r="BP34" s="2"/>
      <c r="BQ34" s="2"/>
      <c r="BR34" s="2"/>
      <c r="BS34" s="2"/>
    </row>
    <row r="35">
      <c r="A35" s="11"/>
      <c r="B35" s="4"/>
      <c r="C35" s="4"/>
      <c r="D35" s="4"/>
      <c r="E35" s="2"/>
      <c r="F35" s="2"/>
      <c r="G35" s="11"/>
      <c r="H35" s="4"/>
      <c r="I35" s="4"/>
      <c r="J35" s="4"/>
      <c r="K35" s="4"/>
      <c r="L35" s="2"/>
      <c r="M35" s="11"/>
      <c r="N35" s="4"/>
      <c r="O35" s="4"/>
      <c r="P35" s="4"/>
      <c r="Q35" s="4"/>
      <c r="R35" s="2"/>
      <c r="S35" s="11"/>
      <c r="T35" s="4"/>
      <c r="U35" s="4"/>
      <c r="V35" s="4"/>
      <c r="W35" s="4"/>
      <c r="X35" s="2"/>
      <c r="Y35" s="11"/>
      <c r="Z35" s="4"/>
      <c r="AA35" s="4"/>
      <c r="AB35" s="4"/>
      <c r="AC35" s="4"/>
      <c r="AD35" s="2"/>
      <c r="AE35" s="11"/>
      <c r="AF35" s="4"/>
      <c r="AG35" s="4"/>
      <c r="AH35" s="4"/>
      <c r="AI35" s="4"/>
      <c r="AJ35" s="2"/>
      <c r="AK35" s="11"/>
      <c r="AL35" s="4"/>
      <c r="AM35" s="4"/>
      <c r="AN35" s="4"/>
      <c r="AO35" s="4"/>
      <c r="AP35" s="2"/>
      <c r="AQ35" s="11"/>
      <c r="AR35" s="4"/>
      <c r="AS35" s="4"/>
      <c r="AT35" s="4"/>
      <c r="AU35" s="4"/>
      <c r="AV35" s="2"/>
      <c r="AW35" s="11"/>
      <c r="AX35" s="4"/>
      <c r="AY35" s="4"/>
      <c r="AZ35" s="4"/>
      <c r="BA35" s="4"/>
      <c r="BB35" s="2"/>
      <c r="BC35" s="11"/>
      <c r="BD35" s="4"/>
      <c r="BE35" s="4"/>
      <c r="BF35" s="4"/>
      <c r="BG35" s="4"/>
      <c r="BH35" s="2"/>
      <c r="BI35" s="11"/>
      <c r="BJ35" s="4"/>
      <c r="BK35" s="4"/>
      <c r="BL35" s="4"/>
      <c r="BM35" s="4"/>
      <c r="BN35" s="2"/>
      <c r="BO35" s="11"/>
      <c r="BP35" s="4"/>
      <c r="BQ35" s="4"/>
      <c r="BR35" s="4"/>
      <c r="BS35" s="4"/>
    </row>
    <row r="36">
      <c r="A36" s="11"/>
      <c r="B36" s="4"/>
      <c r="C36" s="4"/>
      <c r="D36" s="4"/>
      <c r="E36" s="4"/>
      <c r="F36" s="2"/>
      <c r="G36" s="11"/>
      <c r="H36" s="4"/>
      <c r="I36" s="4"/>
      <c r="J36" s="4"/>
      <c r="K36" s="4"/>
      <c r="L36" s="2"/>
      <c r="M36" s="11"/>
      <c r="N36" s="4"/>
      <c r="O36" s="4"/>
      <c r="P36" s="4"/>
      <c r="Q36" s="4"/>
      <c r="R36" s="2"/>
      <c r="S36" s="11"/>
      <c r="T36" s="4"/>
      <c r="U36" s="4"/>
      <c r="V36" s="4"/>
      <c r="W36" s="4"/>
      <c r="X36" s="2"/>
      <c r="Y36" s="11"/>
      <c r="Z36" s="4"/>
      <c r="AA36" s="4"/>
      <c r="AB36" s="4"/>
      <c r="AC36" s="4"/>
      <c r="AD36" s="2"/>
      <c r="AE36" s="11"/>
      <c r="AF36" s="4"/>
      <c r="AG36" s="4"/>
      <c r="AH36" s="4"/>
      <c r="AI36" s="4"/>
      <c r="AJ36" s="2"/>
      <c r="AK36" s="11"/>
      <c r="AL36" s="4"/>
      <c r="AM36" s="4"/>
      <c r="AN36" s="4"/>
      <c r="AO36" s="4"/>
      <c r="AP36" s="2"/>
      <c r="AQ36" s="11"/>
      <c r="AR36" s="4"/>
      <c r="AS36" s="4"/>
      <c r="AT36" s="4"/>
      <c r="AU36" s="4"/>
      <c r="AV36" s="2"/>
      <c r="AW36" s="11"/>
      <c r="AX36" s="4"/>
      <c r="AY36" s="4"/>
      <c r="AZ36" s="4"/>
      <c r="BA36" s="4"/>
      <c r="BB36" s="2"/>
      <c r="BC36" s="11"/>
      <c r="BD36" s="4"/>
      <c r="BE36" s="4"/>
      <c r="BF36" s="4"/>
      <c r="BG36" s="4"/>
      <c r="BH36" s="2"/>
      <c r="BI36" s="11"/>
      <c r="BJ36" s="4"/>
      <c r="BK36" s="4"/>
      <c r="BL36" s="4"/>
      <c r="BM36" s="4"/>
      <c r="BN36" s="2"/>
      <c r="BO36" s="11"/>
      <c r="BP36" s="4"/>
      <c r="BQ36" s="4"/>
      <c r="BR36" s="4"/>
      <c r="BS36" s="4"/>
    </row>
    <row r="37">
      <c r="A37" s="11"/>
      <c r="B37" s="12" t="s">
        <v>17</v>
      </c>
      <c r="C37" s="12" t="s">
        <v>18</v>
      </c>
      <c r="D37" s="13" t="s">
        <v>19</v>
      </c>
      <c r="E37" s="12"/>
      <c r="F37" s="2"/>
      <c r="G37" s="11"/>
      <c r="H37" s="12" t="s">
        <v>17</v>
      </c>
      <c r="I37" s="12" t="s">
        <v>18</v>
      </c>
      <c r="J37" s="13" t="s">
        <v>19</v>
      </c>
      <c r="K37" s="12"/>
      <c r="L37" s="2"/>
      <c r="M37" s="11"/>
      <c r="N37" s="12" t="s">
        <v>17</v>
      </c>
      <c r="O37" s="12" t="s">
        <v>18</v>
      </c>
      <c r="P37" s="13" t="s">
        <v>19</v>
      </c>
      <c r="Q37" s="12"/>
      <c r="R37" s="2"/>
      <c r="S37" s="11"/>
      <c r="T37" s="12" t="s">
        <v>17</v>
      </c>
      <c r="U37" s="12" t="s">
        <v>18</v>
      </c>
      <c r="V37" s="13" t="s">
        <v>19</v>
      </c>
      <c r="W37" s="12"/>
      <c r="X37" s="2"/>
      <c r="Y37" s="11"/>
      <c r="Z37" s="12" t="s">
        <v>17</v>
      </c>
      <c r="AA37" s="12" t="s">
        <v>18</v>
      </c>
      <c r="AB37" s="13" t="s">
        <v>19</v>
      </c>
      <c r="AC37" s="12"/>
      <c r="AD37" s="2"/>
      <c r="AE37" s="11"/>
      <c r="AF37" s="12" t="s">
        <v>17</v>
      </c>
      <c r="AG37" s="12" t="s">
        <v>18</v>
      </c>
      <c r="AH37" s="13" t="s">
        <v>19</v>
      </c>
      <c r="AI37" s="12"/>
      <c r="AJ37" s="2"/>
      <c r="AK37" s="11"/>
      <c r="AL37" s="12" t="s">
        <v>17</v>
      </c>
      <c r="AM37" s="12" t="s">
        <v>18</v>
      </c>
      <c r="AN37" s="13" t="s">
        <v>19</v>
      </c>
      <c r="AO37" s="12"/>
      <c r="AP37" s="2"/>
      <c r="AQ37" s="11"/>
      <c r="AR37" s="12" t="s">
        <v>17</v>
      </c>
      <c r="AS37" s="12" t="s">
        <v>18</v>
      </c>
      <c r="AT37" s="13" t="s">
        <v>19</v>
      </c>
      <c r="AU37" s="12"/>
      <c r="AV37" s="2"/>
      <c r="AW37" s="11"/>
      <c r="AX37" s="12" t="s">
        <v>17</v>
      </c>
      <c r="AY37" s="12" t="s">
        <v>18</v>
      </c>
      <c r="AZ37" s="13" t="s">
        <v>19</v>
      </c>
      <c r="BA37" s="12"/>
      <c r="BB37" s="2"/>
      <c r="BC37" s="11"/>
      <c r="BD37" s="12" t="s">
        <v>17</v>
      </c>
      <c r="BE37" s="12" t="s">
        <v>18</v>
      </c>
      <c r="BF37" s="13" t="s">
        <v>19</v>
      </c>
      <c r="BG37" s="12"/>
      <c r="BH37" s="2"/>
      <c r="BI37" s="11"/>
      <c r="BJ37" s="12" t="s">
        <v>17</v>
      </c>
      <c r="BK37" s="12" t="s">
        <v>18</v>
      </c>
      <c r="BL37" s="13" t="s">
        <v>19</v>
      </c>
      <c r="BM37" s="12"/>
      <c r="BN37" s="2"/>
      <c r="BO37" s="11"/>
      <c r="BP37" s="12" t="s">
        <v>17</v>
      </c>
      <c r="BQ37" s="12" t="s">
        <v>18</v>
      </c>
      <c r="BR37" s="13" t="s">
        <v>19</v>
      </c>
      <c r="BS37" s="12"/>
    </row>
    <row r="38">
      <c r="A38" s="11"/>
      <c r="B38" s="14">
        <f t="shared" ref="B38:D38" si="14">SUM(B3:B33)</f>
        <v>0</v>
      </c>
      <c r="C38" s="14">
        <f t="shared" si="14"/>
        <v>0</v>
      </c>
      <c r="D38" s="15">
        <f t="shared" si="14"/>
        <v>0</v>
      </c>
      <c r="E38" s="14" t="str">
        <f>E34</f>
        <v/>
      </c>
      <c r="F38" s="2"/>
      <c r="G38" s="11"/>
      <c r="H38" s="14">
        <f t="shared" ref="H38:J38" si="15">SUM(H3:H33)</f>
        <v>0</v>
      </c>
      <c r="I38" s="14">
        <f t="shared" si="15"/>
        <v>0</v>
      </c>
      <c r="J38" s="15">
        <f t="shared" si="15"/>
        <v>0</v>
      </c>
      <c r="K38" s="14" t="str">
        <f>K34</f>
        <v/>
      </c>
      <c r="L38" s="2"/>
      <c r="M38" s="11"/>
      <c r="N38" s="14">
        <f t="shared" ref="N38:P38" si="16">SUM(N3:N33)</f>
        <v>0</v>
      </c>
      <c r="O38" s="14">
        <f t="shared" si="16"/>
        <v>0</v>
      </c>
      <c r="P38" s="15">
        <f t="shared" si="16"/>
        <v>0</v>
      </c>
      <c r="Q38" s="14" t="str">
        <f>Q34</f>
        <v/>
      </c>
      <c r="R38" s="2"/>
      <c r="S38" s="11"/>
      <c r="T38" s="14">
        <f t="shared" ref="T38:V38" si="17">SUM(T3:T33)</f>
        <v>0</v>
      </c>
      <c r="U38" s="14">
        <f t="shared" si="17"/>
        <v>0</v>
      </c>
      <c r="V38" s="15">
        <f t="shared" si="17"/>
        <v>0</v>
      </c>
      <c r="W38" s="14" t="str">
        <f>W34</f>
        <v/>
      </c>
      <c r="X38" s="2"/>
      <c r="Y38" s="11"/>
      <c r="Z38" s="14">
        <f t="shared" ref="Z38:AB38" si="18">SUM(Z3:Z33)</f>
        <v>0</v>
      </c>
      <c r="AA38" s="14">
        <f t="shared" si="18"/>
        <v>0</v>
      </c>
      <c r="AB38" s="15">
        <f t="shared" si="18"/>
        <v>0</v>
      </c>
      <c r="AC38" s="14" t="str">
        <f>AC34</f>
        <v/>
      </c>
      <c r="AD38" s="2"/>
      <c r="AE38" s="11"/>
      <c r="AF38" s="14">
        <f t="shared" ref="AF38:AH38" si="19">SUM(AF3:AF33)</f>
        <v>0</v>
      </c>
      <c r="AG38" s="14">
        <f t="shared" si="19"/>
        <v>0</v>
      </c>
      <c r="AH38" s="15">
        <f t="shared" si="19"/>
        <v>0</v>
      </c>
      <c r="AI38" s="14" t="str">
        <f>AI34</f>
        <v/>
      </c>
      <c r="AJ38" s="2"/>
      <c r="AK38" s="11"/>
      <c r="AL38" s="14">
        <f t="shared" ref="AL38:AN38" si="20">SUM(AL3:AL33)</f>
        <v>0</v>
      </c>
      <c r="AM38" s="14">
        <f t="shared" si="20"/>
        <v>0</v>
      </c>
      <c r="AN38" s="15">
        <f t="shared" si="20"/>
        <v>0</v>
      </c>
      <c r="AO38" s="14" t="str">
        <f>AO34</f>
        <v/>
      </c>
      <c r="AP38" s="2"/>
      <c r="AQ38" s="11"/>
      <c r="AR38" s="14">
        <f t="shared" ref="AR38:AT38" si="21">SUM(AR3:AR33)</f>
        <v>0</v>
      </c>
      <c r="AS38" s="14">
        <f t="shared" si="21"/>
        <v>0</v>
      </c>
      <c r="AT38" s="15">
        <f t="shared" si="21"/>
        <v>0</v>
      </c>
      <c r="AU38" s="14" t="str">
        <f>AU34</f>
        <v/>
      </c>
      <c r="AV38" s="2"/>
      <c r="AW38" s="11"/>
      <c r="AX38" s="14">
        <f t="shared" ref="AX38:AZ38" si="22">SUM(AX3:AX33)</f>
        <v>0</v>
      </c>
      <c r="AY38" s="14">
        <f t="shared" si="22"/>
        <v>0</v>
      </c>
      <c r="AZ38" s="15">
        <f t="shared" si="22"/>
        <v>0</v>
      </c>
      <c r="BA38" s="14" t="str">
        <f>BA34</f>
        <v/>
      </c>
      <c r="BB38" s="2"/>
      <c r="BC38" s="11"/>
      <c r="BD38" s="14">
        <f t="shared" ref="BD38:BF38" si="23">SUM(BD3:BD33)</f>
        <v>0</v>
      </c>
      <c r="BE38" s="14">
        <f t="shared" si="23"/>
        <v>0</v>
      </c>
      <c r="BF38" s="15">
        <f t="shared" si="23"/>
        <v>0</v>
      </c>
      <c r="BG38" s="14" t="str">
        <f>BG34</f>
        <v/>
      </c>
      <c r="BH38" s="2"/>
      <c r="BI38" s="11"/>
      <c r="BJ38" s="14">
        <f t="shared" ref="BJ38:BL38" si="24">SUM(BJ3:BJ33)</f>
        <v>23069.53</v>
      </c>
      <c r="BK38" s="14">
        <f t="shared" si="24"/>
        <v>12564.24</v>
      </c>
      <c r="BL38" s="15">
        <f t="shared" si="24"/>
        <v>4015.24</v>
      </c>
      <c r="BM38" s="14" t="str">
        <f>BM34</f>
        <v/>
      </c>
      <c r="BN38" s="2"/>
      <c r="BO38" s="11"/>
      <c r="BP38" s="14">
        <f t="shared" ref="BP38:BR38" si="25">SUM(BP3:BP33)</f>
        <v>18536</v>
      </c>
      <c r="BQ38" s="14">
        <f t="shared" si="25"/>
        <v>14771.8</v>
      </c>
      <c r="BR38" s="15">
        <f t="shared" si="25"/>
        <v>6080.71</v>
      </c>
      <c r="BS38" s="14" t="str">
        <f>BS34</f>
        <v/>
      </c>
    </row>
    <row r="39">
      <c r="A39" s="11"/>
      <c r="B39" s="14"/>
      <c r="C39" s="14"/>
      <c r="D39" s="15"/>
      <c r="E39" s="14"/>
      <c r="F39" s="2"/>
      <c r="G39" s="11"/>
      <c r="H39" s="14"/>
      <c r="I39" s="14"/>
      <c r="J39" s="15"/>
      <c r="K39" s="14"/>
      <c r="L39" s="2"/>
      <c r="M39" s="11"/>
      <c r="N39" s="14"/>
      <c r="O39" s="14"/>
      <c r="P39" s="15"/>
      <c r="Q39" s="14"/>
      <c r="R39" s="2"/>
      <c r="S39" s="11"/>
      <c r="T39" s="14"/>
      <c r="U39" s="14"/>
      <c r="V39" s="15"/>
      <c r="W39" s="14"/>
      <c r="X39" s="2"/>
      <c r="Y39" s="11"/>
      <c r="Z39" s="14"/>
      <c r="AA39" s="14"/>
      <c r="AB39" s="15"/>
      <c r="AC39" s="14"/>
      <c r="AD39" s="2"/>
      <c r="AE39" s="11"/>
      <c r="AF39" s="14"/>
      <c r="AG39" s="14"/>
      <c r="AH39" s="15"/>
      <c r="AI39" s="14"/>
      <c r="AJ39" s="2"/>
      <c r="AK39" s="11"/>
      <c r="AL39" s="14"/>
      <c r="AM39" s="14"/>
      <c r="AN39" s="15"/>
      <c r="AO39" s="14"/>
      <c r="AP39" s="2"/>
      <c r="AQ39" s="11"/>
      <c r="AR39" s="14"/>
      <c r="AS39" s="14"/>
      <c r="AT39" s="15"/>
      <c r="AU39" s="14"/>
      <c r="AV39" s="2"/>
      <c r="AW39" s="11"/>
      <c r="AX39" s="14"/>
      <c r="AY39" s="14"/>
      <c r="AZ39" s="15"/>
      <c r="BA39" s="14"/>
      <c r="BB39" s="2"/>
      <c r="BC39" s="11"/>
      <c r="BD39" s="14"/>
      <c r="BE39" s="14"/>
      <c r="BF39" s="15"/>
      <c r="BG39" s="14"/>
      <c r="BH39" s="2"/>
      <c r="BI39" s="11"/>
      <c r="BJ39" s="14"/>
      <c r="BK39" s="14"/>
      <c r="BL39" s="15"/>
      <c r="BM39" s="14"/>
      <c r="BN39" s="2"/>
      <c r="BO39" s="11"/>
      <c r="BP39" s="14"/>
      <c r="BQ39" s="14"/>
      <c r="BR39" s="15"/>
      <c r="BS39" s="14"/>
    </row>
    <row r="40">
      <c r="A40" s="11"/>
      <c r="B40" s="14"/>
      <c r="C40" s="12"/>
      <c r="D40" s="13" t="s">
        <v>20</v>
      </c>
      <c r="E40" s="14"/>
      <c r="F40" s="2"/>
      <c r="G40" s="2"/>
      <c r="H40" s="14"/>
      <c r="I40" s="12"/>
      <c r="J40" s="13" t="s">
        <v>20</v>
      </c>
      <c r="K40" s="14"/>
      <c r="L40" s="2"/>
      <c r="M40" s="11"/>
      <c r="N40" s="14"/>
      <c r="O40" s="12"/>
      <c r="P40" s="13" t="s">
        <v>20</v>
      </c>
      <c r="Q40" s="14"/>
      <c r="R40" s="2"/>
      <c r="S40" s="11"/>
      <c r="T40" s="14"/>
      <c r="U40" s="12"/>
      <c r="V40" s="13" t="s">
        <v>20</v>
      </c>
      <c r="W40" s="14"/>
      <c r="X40" s="2"/>
      <c r="Y40" s="11"/>
      <c r="Z40" s="14"/>
      <c r="AA40" s="12"/>
      <c r="AB40" s="13" t="s">
        <v>20</v>
      </c>
      <c r="AC40" s="14"/>
      <c r="AD40" s="2"/>
      <c r="AE40" s="11"/>
      <c r="AF40" s="14"/>
      <c r="AG40" s="12"/>
      <c r="AH40" s="13" t="s">
        <v>20</v>
      </c>
      <c r="AI40" s="14"/>
      <c r="AJ40" s="2"/>
      <c r="AK40" s="11"/>
      <c r="AL40" s="14"/>
      <c r="AM40" s="12"/>
      <c r="AN40" s="13" t="s">
        <v>20</v>
      </c>
      <c r="AO40" s="14"/>
      <c r="AP40" s="2"/>
      <c r="AQ40" s="11"/>
      <c r="AR40" s="14"/>
      <c r="AS40" s="12"/>
      <c r="AT40" s="13" t="s">
        <v>20</v>
      </c>
      <c r="AU40" s="14"/>
      <c r="AV40" s="2"/>
      <c r="AW40" s="11"/>
      <c r="AX40" s="14"/>
      <c r="AY40" s="12"/>
      <c r="AZ40" s="13" t="s">
        <v>20</v>
      </c>
      <c r="BA40" s="14"/>
      <c r="BB40" s="2"/>
      <c r="BC40" s="11"/>
      <c r="BD40" s="14"/>
      <c r="BE40" s="12"/>
      <c r="BF40" s="13" t="s">
        <v>20</v>
      </c>
      <c r="BG40" s="14"/>
      <c r="BH40" s="2"/>
      <c r="BI40" s="11"/>
      <c r="BJ40" s="14"/>
      <c r="BK40" s="12"/>
      <c r="BL40" s="13" t="s">
        <v>20</v>
      </c>
      <c r="BM40" s="14"/>
      <c r="BN40" s="2"/>
      <c r="BO40" s="11"/>
      <c r="BP40" s="14"/>
      <c r="BQ40" s="12"/>
      <c r="BR40" s="13" t="s">
        <v>20</v>
      </c>
      <c r="BS40" s="14"/>
    </row>
    <row r="41">
      <c r="A41" s="11"/>
      <c r="B41" s="14"/>
      <c r="C41" s="12"/>
      <c r="D41" s="15">
        <f>C38+D38</f>
        <v>0</v>
      </c>
      <c r="E41" s="14"/>
      <c r="F41" s="2"/>
      <c r="G41" s="2"/>
      <c r="H41" s="14"/>
      <c r="I41" s="12"/>
      <c r="J41" s="15">
        <f>I38+J38</f>
        <v>0</v>
      </c>
      <c r="K41" s="14"/>
      <c r="L41" s="2"/>
      <c r="M41" s="11"/>
      <c r="N41" s="14"/>
      <c r="O41" s="12"/>
      <c r="P41" s="15">
        <f>O38+P38</f>
        <v>0</v>
      </c>
      <c r="Q41" s="14"/>
      <c r="R41" s="2"/>
      <c r="S41" s="11"/>
      <c r="T41" s="14"/>
      <c r="U41" s="12"/>
      <c r="V41" s="15">
        <f>U38+V38</f>
        <v>0</v>
      </c>
      <c r="W41" s="14"/>
      <c r="X41" s="2"/>
      <c r="Y41" s="11"/>
      <c r="Z41" s="14"/>
      <c r="AA41" s="12"/>
      <c r="AB41" s="15">
        <f>AA38+AB38</f>
        <v>0</v>
      </c>
      <c r="AC41" s="14"/>
      <c r="AD41" s="2"/>
      <c r="AE41" s="11"/>
      <c r="AF41" s="14"/>
      <c r="AG41" s="12"/>
      <c r="AH41" s="15">
        <f>AG38+AH38</f>
        <v>0</v>
      </c>
      <c r="AI41" s="14"/>
      <c r="AJ41" s="2"/>
      <c r="AK41" s="11"/>
      <c r="AL41" s="14"/>
      <c r="AM41" s="12"/>
      <c r="AN41" s="15">
        <f>AM38+AN38</f>
        <v>0</v>
      </c>
      <c r="AO41" s="14"/>
      <c r="AP41" s="2"/>
      <c r="AQ41" s="11"/>
      <c r="AR41" s="14"/>
      <c r="AS41" s="12"/>
      <c r="AT41" s="15">
        <f>AS38+AT38</f>
        <v>0</v>
      </c>
      <c r="AU41" s="14"/>
      <c r="AV41" s="2"/>
      <c r="AW41" s="11"/>
      <c r="AX41" s="14"/>
      <c r="AY41" s="12"/>
      <c r="AZ41" s="15">
        <f>AY38+AZ38</f>
        <v>0</v>
      </c>
      <c r="BA41" s="14"/>
      <c r="BB41" s="2"/>
      <c r="BC41" s="11"/>
      <c r="BD41" s="14"/>
      <c r="BE41" s="12"/>
      <c r="BF41" s="15">
        <f>BE38+BF38</f>
        <v>0</v>
      </c>
      <c r="BG41" s="14"/>
      <c r="BH41" s="2"/>
      <c r="BI41" s="11"/>
      <c r="BJ41" s="14"/>
      <c r="BK41" s="12"/>
      <c r="BL41" s="15">
        <f>BK38+BL38</f>
        <v>16579.48</v>
      </c>
      <c r="BM41" s="14"/>
      <c r="BN41" s="2"/>
      <c r="BO41" s="11"/>
      <c r="BP41" s="14"/>
      <c r="BQ41" s="12"/>
      <c r="BR41" s="15">
        <f>BQ38+BR38</f>
        <v>20852.51</v>
      </c>
      <c r="BS41" s="14"/>
    </row>
    <row r="42">
      <c r="A42" s="11"/>
      <c r="B42" s="14"/>
      <c r="C42" s="12"/>
      <c r="D42" s="15"/>
      <c r="E42" s="14"/>
      <c r="F42" s="2"/>
      <c r="G42" s="2"/>
      <c r="H42" s="14"/>
      <c r="I42" s="12"/>
      <c r="J42" s="15"/>
      <c r="K42" s="14"/>
      <c r="L42" s="2"/>
      <c r="M42" s="11"/>
      <c r="N42" s="14"/>
      <c r="O42" s="12"/>
      <c r="P42" s="15"/>
      <c r="Q42" s="14"/>
      <c r="R42" s="2"/>
      <c r="S42" s="11"/>
      <c r="T42" s="14"/>
      <c r="U42" s="12"/>
      <c r="V42" s="15"/>
      <c r="W42" s="14"/>
      <c r="X42" s="2"/>
      <c r="Y42" s="11"/>
      <c r="Z42" s="14"/>
      <c r="AA42" s="12"/>
      <c r="AB42" s="15"/>
      <c r="AC42" s="14"/>
      <c r="AD42" s="2"/>
      <c r="AE42" s="11"/>
      <c r="AF42" s="14"/>
      <c r="AG42" s="12"/>
      <c r="AH42" s="15"/>
      <c r="AI42" s="14"/>
      <c r="AJ42" s="2"/>
      <c r="AK42" s="11"/>
      <c r="AL42" s="14"/>
      <c r="AM42" s="12"/>
      <c r="AN42" s="15"/>
      <c r="AO42" s="14"/>
      <c r="AP42" s="2"/>
      <c r="AQ42" s="11"/>
      <c r="AR42" s="14"/>
      <c r="AS42" s="12"/>
      <c r="AT42" s="15"/>
      <c r="AU42" s="14"/>
      <c r="AV42" s="2"/>
      <c r="AW42" s="11"/>
      <c r="AX42" s="14"/>
      <c r="AY42" s="12"/>
      <c r="AZ42" s="15"/>
      <c r="BA42" s="14"/>
      <c r="BB42" s="2"/>
      <c r="BC42" s="11"/>
      <c r="BD42" s="14"/>
      <c r="BE42" s="12"/>
      <c r="BF42" s="15"/>
      <c r="BG42" s="14"/>
      <c r="BH42" s="2"/>
      <c r="BI42" s="11"/>
      <c r="BJ42" s="14"/>
      <c r="BK42" s="12"/>
      <c r="BL42" s="15"/>
      <c r="BM42" s="14"/>
      <c r="BN42" s="2"/>
      <c r="BO42" s="11"/>
      <c r="BP42" s="14"/>
      <c r="BQ42" s="12"/>
      <c r="BR42" s="15"/>
      <c r="BS42" s="14"/>
    </row>
    <row r="43">
      <c r="A43" s="11"/>
      <c r="B43" s="14"/>
      <c r="C43" s="12"/>
      <c r="D43" s="13" t="s">
        <v>21</v>
      </c>
      <c r="E43" s="14"/>
      <c r="F43" s="2"/>
      <c r="G43" s="2"/>
      <c r="H43" s="14"/>
      <c r="I43" s="12"/>
      <c r="J43" s="13" t="s">
        <v>21</v>
      </c>
      <c r="K43" s="14"/>
      <c r="L43" s="2"/>
      <c r="M43" s="11"/>
      <c r="N43" s="14"/>
      <c r="O43" s="12"/>
      <c r="P43" s="13" t="s">
        <v>21</v>
      </c>
      <c r="Q43" s="14"/>
      <c r="R43" s="2"/>
      <c r="S43" s="11"/>
      <c r="T43" s="14"/>
      <c r="U43" s="12"/>
      <c r="V43" s="13" t="s">
        <v>21</v>
      </c>
      <c r="W43" s="14"/>
      <c r="X43" s="2"/>
      <c r="Y43" s="11"/>
      <c r="Z43" s="14"/>
      <c r="AA43" s="12"/>
      <c r="AB43" s="13" t="s">
        <v>21</v>
      </c>
      <c r="AC43" s="14"/>
      <c r="AD43" s="2"/>
      <c r="AE43" s="11"/>
      <c r="AF43" s="14"/>
      <c r="AG43" s="12"/>
      <c r="AH43" s="13" t="s">
        <v>21</v>
      </c>
      <c r="AI43" s="14"/>
      <c r="AJ43" s="2"/>
      <c r="AK43" s="11"/>
      <c r="AL43" s="14"/>
      <c r="AM43" s="12"/>
      <c r="AN43" s="13" t="s">
        <v>21</v>
      </c>
      <c r="AO43" s="14"/>
      <c r="AP43" s="2"/>
      <c r="AQ43" s="11"/>
      <c r="AR43" s="14"/>
      <c r="AS43" s="12"/>
      <c r="AT43" s="13" t="s">
        <v>21</v>
      </c>
      <c r="AU43" s="14"/>
      <c r="AV43" s="2"/>
      <c r="AW43" s="11"/>
      <c r="AX43" s="14"/>
      <c r="AY43" s="12"/>
      <c r="AZ43" s="13" t="s">
        <v>21</v>
      </c>
      <c r="BA43" s="14"/>
      <c r="BB43" s="2"/>
      <c r="BC43" s="11"/>
      <c r="BD43" s="14"/>
      <c r="BE43" s="12"/>
      <c r="BF43" s="13" t="s">
        <v>21</v>
      </c>
      <c r="BG43" s="14"/>
      <c r="BH43" s="2"/>
      <c r="BI43" s="11"/>
      <c r="BJ43" s="14"/>
      <c r="BK43" s="12"/>
      <c r="BL43" s="13" t="s">
        <v>21</v>
      </c>
      <c r="BM43" s="14"/>
      <c r="BN43" s="2"/>
      <c r="BO43" s="11"/>
      <c r="BP43" s="14"/>
      <c r="BQ43" s="12"/>
      <c r="BR43" s="13" t="s">
        <v>21</v>
      </c>
      <c r="BS43" s="14"/>
    </row>
    <row r="44">
      <c r="A44" s="11"/>
      <c r="B44" s="14"/>
      <c r="C44" s="12"/>
      <c r="D44" s="15">
        <f>B38-D41</f>
        <v>0</v>
      </c>
      <c r="E44" s="14"/>
      <c r="F44" s="2"/>
      <c r="G44" s="2"/>
      <c r="H44" s="14"/>
      <c r="I44" s="12"/>
      <c r="J44" s="15">
        <f>H38-J41</f>
        <v>0</v>
      </c>
      <c r="K44" s="14"/>
      <c r="L44" s="2"/>
      <c r="M44" s="11"/>
      <c r="N44" s="14"/>
      <c r="O44" s="12"/>
      <c r="P44" s="15">
        <f>N38-P41</f>
        <v>0</v>
      </c>
      <c r="Q44" s="14"/>
      <c r="R44" s="2"/>
      <c r="S44" s="11"/>
      <c r="T44" s="14"/>
      <c r="U44" s="12"/>
      <c r="V44" s="15">
        <f>T38-V41</f>
        <v>0</v>
      </c>
      <c r="W44" s="14"/>
      <c r="X44" s="2"/>
      <c r="Y44" s="11"/>
      <c r="Z44" s="14"/>
      <c r="AA44" s="12"/>
      <c r="AB44" s="15">
        <f>Z38-AB41</f>
        <v>0</v>
      </c>
      <c r="AC44" s="14"/>
      <c r="AD44" s="2"/>
      <c r="AE44" s="11"/>
      <c r="AF44" s="14"/>
      <c r="AG44" s="12"/>
      <c r="AH44" s="15">
        <f>AF38-AH41</f>
        <v>0</v>
      </c>
      <c r="AI44" s="14"/>
      <c r="AJ44" s="2"/>
      <c r="AK44" s="11"/>
      <c r="AL44" s="14"/>
      <c r="AM44" s="12"/>
      <c r="AN44" s="15">
        <f>AL38-AN41</f>
        <v>0</v>
      </c>
      <c r="AO44" s="14"/>
      <c r="AP44" s="2"/>
      <c r="AQ44" s="11"/>
      <c r="AR44" s="14"/>
      <c r="AS44" s="12"/>
      <c r="AT44" s="15">
        <f>AR38-AT41</f>
        <v>0</v>
      </c>
      <c r="AU44" s="14"/>
      <c r="AV44" s="2"/>
      <c r="AW44" s="11"/>
      <c r="AX44" s="14"/>
      <c r="AY44" s="12"/>
      <c r="AZ44" s="15">
        <f>AX38-AZ41</f>
        <v>0</v>
      </c>
      <c r="BA44" s="14"/>
      <c r="BB44" s="2"/>
      <c r="BC44" s="11"/>
      <c r="BD44" s="14"/>
      <c r="BE44" s="12"/>
      <c r="BF44" s="15">
        <f>BD38-BF41</f>
        <v>0</v>
      </c>
      <c r="BG44" s="14"/>
      <c r="BH44" s="2"/>
      <c r="BI44" s="11"/>
      <c r="BJ44" s="14"/>
      <c r="BK44" s="12"/>
      <c r="BL44" s="15">
        <f>BJ38-BL41</f>
        <v>6490.05</v>
      </c>
      <c r="BM44" s="14"/>
      <c r="BN44" s="2"/>
      <c r="BO44" s="11"/>
      <c r="BP44" s="14"/>
      <c r="BQ44" s="12"/>
      <c r="BR44" s="15">
        <f>BP38-BR41</f>
        <v>-2316.51</v>
      </c>
      <c r="BS44" s="14"/>
    </row>
    <row r="45">
      <c r="A45" s="11"/>
      <c r="B45" s="2"/>
      <c r="C45" s="4"/>
      <c r="D45" s="2"/>
      <c r="E45" s="2"/>
      <c r="F45" s="2"/>
      <c r="G45" s="2"/>
      <c r="H45" s="2"/>
      <c r="I45" s="4"/>
      <c r="J45" s="2"/>
      <c r="K45" s="2"/>
      <c r="L45" s="2"/>
      <c r="M45" s="11"/>
      <c r="N45" s="2"/>
      <c r="O45" s="4"/>
      <c r="P45" s="2"/>
      <c r="Q45" s="2"/>
      <c r="R45" s="2"/>
      <c r="S45" s="11"/>
      <c r="T45" s="2"/>
      <c r="U45" s="4"/>
      <c r="V45" s="2"/>
      <c r="W45" s="2"/>
      <c r="X45" s="2"/>
      <c r="Y45" s="11"/>
      <c r="Z45" s="2"/>
      <c r="AA45" s="4"/>
      <c r="AB45" s="2"/>
      <c r="AC45" s="2"/>
      <c r="AD45" s="2"/>
      <c r="AE45" s="11"/>
      <c r="AF45" s="2"/>
      <c r="AG45" s="4"/>
      <c r="AH45" s="2"/>
      <c r="AI45" s="2"/>
      <c r="AJ45" s="2"/>
      <c r="AK45" s="11"/>
      <c r="AL45" s="2"/>
      <c r="AM45" s="4"/>
      <c r="AN45" s="2"/>
      <c r="AO45" s="2"/>
      <c r="AP45" s="2"/>
      <c r="AQ45" s="11"/>
      <c r="AR45" s="2"/>
      <c r="AS45" s="4"/>
      <c r="AT45" s="2"/>
      <c r="AU45" s="2"/>
      <c r="AV45" s="2"/>
      <c r="AW45" s="11"/>
      <c r="AX45" s="2"/>
      <c r="AY45" s="4"/>
      <c r="AZ45" s="2"/>
      <c r="BA45" s="2"/>
      <c r="BB45" s="2"/>
      <c r="BC45" s="11"/>
      <c r="BD45" s="2"/>
      <c r="BE45" s="4"/>
      <c r="BF45" s="2"/>
      <c r="BG45" s="2"/>
      <c r="BH45" s="2"/>
      <c r="BI45" s="11"/>
      <c r="BJ45" s="2"/>
      <c r="BK45" s="4"/>
      <c r="BL45" s="2"/>
      <c r="BM45" s="2"/>
      <c r="BN45" s="2"/>
      <c r="BO45" s="11"/>
      <c r="BP45" s="2"/>
      <c r="BQ45" s="4"/>
      <c r="BR45" s="2"/>
      <c r="BS45" s="2"/>
    </row>
    <row r="46">
      <c r="A46" s="11"/>
      <c r="B46" s="2"/>
      <c r="C46" s="4"/>
      <c r="D46" s="2"/>
      <c r="E46" s="2"/>
      <c r="F46" s="2"/>
      <c r="G46" s="2"/>
      <c r="H46" s="2"/>
      <c r="I46" s="4"/>
      <c r="J46" s="2"/>
      <c r="K46" s="2"/>
      <c r="L46" s="2"/>
      <c r="M46" s="11"/>
      <c r="N46" s="2"/>
      <c r="O46" s="4"/>
      <c r="P46" s="2"/>
      <c r="Q46" s="2"/>
      <c r="R46" s="2"/>
      <c r="S46" s="11"/>
      <c r="T46" s="2"/>
      <c r="U46" s="4"/>
      <c r="V46" s="2"/>
      <c r="W46" s="2"/>
      <c r="X46" s="2"/>
      <c r="Y46" s="11"/>
      <c r="Z46" s="2"/>
      <c r="AA46" s="4"/>
      <c r="AB46" s="2"/>
      <c r="AC46" s="2"/>
      <c r="AD46" s="2"/>
      <c r="AE46" s="11"/>
      <c r="AF46" s="2"/>
      <c r="AG46" s="4"/>
      <c r="AH46" s="2"/>
      <c r="AI46" s="2"/>
      <c r="AJ46" s="2"/>
      <c r="AK46" s="11"/>
      <c r="AL46" s="2"/>
      <c r="AM46" s="4"/>
      <c r="AN46" s="2"/>
      <c r="AO46" s="2"/>
      <c r="AP46" s="2"/>
      <c r="AQ46" s="11"/>
      <c r="AR46" s="2"/>
      <c r="AS46" s="4"/>
      <c r="AT46" s="2"/>
      <c r="AU46" s="2"/>
      <c r="AV46" s="2"/>
      <c r="AW46" s="11"/>
      <c r="AX46" s="2"/>
      <c r="AY46" s="4"/>
      <c r="AZ46" s="2"/>
      <c r="BA46" s="2"/>
      <c r="BB46" s="2"/>
      <c r="BC46" s="11"/>
      <c r="BD46" s="2"/>
      <c r="BE46" s="4"/>
      <c r="BF46" s="2"/>
      <c r="BG46" s="2"/>
      <c r="BH46" s="2"/>
      <c r="BI46" s="11"/>
      <c r="BJ46" s="2"/>
      <c r="BK46" s="4"/>
      <c r="BL46" s="2"/>
      <c r="BM46" s="2"/>
      <c r="BN46" s="2"/>
      <c r="BO46" s="11"/>
      <c r="BP46" s="2"/>
      <c r="BQ46" s="4"/>
      <c r="BR46" s="2"/>
      <c r="BS46" s="2"/>
    </row>
    <row r="47">
      <c r="A47" s="11"/>
      <c r="B47" s="8"/>
      <c r="C47" s="4"/>
      <c r="D47" s="2"/>
      <c r="E47" s="2"/>
      <c r="F47" s="2"/>
      <c r="G47" s="2"/>
      <c r="H47" s="8"/>
      <c r="I47" s="4"/>
      <c r="J47" s="2"/>
      <c r="K47" s="2"/>
      <c r="L47" s="2"/>
      <c r="M47" s="11"/>
      <c r="N47" s="8"/>
      <c r="O47" s="4"/>
      <c r="P47" s="2"/>
      <c r="Q47" s="2"/>
      <c r="R47" s="2"/>
      <c r="S47" s="11"/>
      <c r="T47" s="8"/>
      <c r="U47" s="4"/>
      <c r="V47" s="2"/>
      <c r="W47" s="2"/>
      <c r="X47" s="2"/>
      <c r="Y47" s="11"/>
      <c r="Z47" s="8"/>
      <c r="AA47" s="4"/>
      <c r="AB47" s="2"/>
      <c r="AC47" s="2"/>
      <c r="AD47" s="2"/>
      <c r="AE47" s="11"/>
      <c r="AF47" s="8"/>
      <c r="AG47" s="4"/>
      <c r="AH47" s="2"/>
      <c r="AI47" s="2"/>
      <c r="AJ47" s="2"/>
      <c r="AK47" s="11"/>
      <c r="AL47" s="8"/>
      <c r="AM47" s="4"/>
      <c r="AN47" s="2"/>
      <c r="AO47" s="2"/>
      <c r="AP47" s="2"/>
      <c r="AQ47" s="11"/>
      <c r="AR47" s="8"/>
      <c r="AS47" s="4"/>
      <c r="AT47" s="2"/>
      <c r="AU47" s="2"/>
      <c r="AV47" s="2"/>
      <c r="AW47" s="11"/>
      <c r="AX47" s="8"/>
      <c r="AY47" s="4"/>
      <c r="AZ47" s="2"/>
      <c r="BA47" s="2"/>
      <c r="BB47" s="2"/>
      <c r="BC47" s="11"/>
      <c r="BD47" s="8"/>
      <c r="BE47" s="4"/>
      <c r="BF47" s="2"/>
      <c r="BG47" s="2"/>
      <c r="BH47" s="2"/>
      <c r="BI47" s="11"/>
      <c r="BJ47" s="8"/>
      <c r="BK47" s="4"/>
      <c r="BL47" s="2"/>
      <c r="BM47" s="2"/>
      <c r="BN47" s="2"/>
      <c r="BO47" s="11"/>
      <c r="BP47" s="8"/>
      <c r="BQ47" s="4"/>
      <c r="BR47" s="2"/>
      <c r="BS47" s="2"/>
    </row>
    <row r="48">
      <c r="A48" s="11"/>
      <c r="B48" s="2"/>
      <c r="C48" s="4"/>
      <c r="D48" s="2"/>
      <c r="E48" s="2"/>
      <c r="F48" s="2"/>
      <c r="G48" s="2"/>
      <c r="H48" s="2"/>
      <c r="I48" s="4"/>
      <c r="J48" s="2"/>
      <c r="K48" s="2"/>
      <c r="L48" s="2"/>
      <c r="M48" s="11"/>
      <c r="N48" s="2"/>
      <c r="O48" s="4"/>
      <c r="P48" s="2"/>
      <c r="Q48" s="2"/>
      <c r="R48" s="2"/>
      <c r="S48" s="11"/>
      <c r="T48" s="2"/>
      <c r="U48" s="4"/>
      <c r="V48" s="2"/>
      <c r="W48" s="2"/>
      <c r="X48" s="2"/>
      <c r="Y48" s="11"/>
      <c r="Z48" s="2"/>
      <c r="AA48" s="4"/>
      <c r="AB48" s="2"/>
      <c r="AC48" s="2"/>
      <c r="AD48" s="2"/>
      <c r="AE48" s="11"/>
      <c r="AF48" s="2"/>
      <c r="AG48" s="4"/>
      <c r="AH48" s="2"/>
      <c r="AI48" s="2"/>
      <c r="AJ48" s="2"/>
      <c r="AK48" s="11"/>
      <c r="AL48" s="2"/>
      <c r="AM48" s="4"/>
      <c r="AN48" s="2"/>
      <c r="AO48" s="2"/>
      <c r="AP48" s="2"/>
      <c r="AQ48" s="11"/>
      <c r="AR48" s="2"/>
      <c r="AS48" s="4"/>
      <c r="AT48" s="2"/>
      <c r="AU48" s="2"/>
      <c r="AV48" s="2"/>
      <c r="AW48" s="11"/>
      <c r="AX48" s="2"/>
      <c r="AY48" s="4"/>
      <c r="AZ48" s="2"/>
      <c r="BA48" s="2"/>
      <c r="BB48" s="2"/>
      <c r="BC48" s="11"/>
      <c r="BD48" s="2"/>
      <c r="BE48" s="4"/>
      <c r="BF48" s="2"/>
      <c r="BG48" s="2"/>
      <c r="BH48" s="2"/>
      <c r="BI48" s="11"/>
      <c r="BJ48" s="2"/>
      <c r="BK48" s="4"/>
      <c r="BL48" s="2"/>
      <c r="BM48" s="2"/>
      <c r="BN48" s="2"/>
      <c r="BO48" s="11"/>
      <c r="BP48" s="2"/>
      <c r="BQ48" s="4"/>
      <c r="BR48" s="2"/>
      <c r="BS48" s="2"/>
    </row>
    <row r="49">
      <c r="A49" s="11"/>
      <c r="B49" s="2"/>
      <c r="C49" s="4"/>
      <c r="D49" s="2"/>
      <c r="E49" s="2"/>
      <c r="F49" s="2"/>
      <c r="G49" s="2"/>
      <c r="H49" s="2"/>
      <c r="I49" s="4"/>
      <c r="J49" s="2"/>
      <c r="K49" s="2"/>
      <c r="L49" s="2"/>
      <c r="M49" s="11"/>
      <c r="N49" s="2"/>
      <c r="O49" s="4"/>
      <c r="P49" s="2"/>
      <c r="Q49" s="2"/>
      <c r="R49" s="2"/>
      <c r="S49" s="11"/>
      <c r="T49" s="2"/>
      <c r="U49" s="4"/>
      <c r="V49" s="2"/>
      <c r="W49" s="2"/>
      <c r="X49" s="2"/>
      <c r="Y49" s="11"/>
      <c r="Z49" s="2"/>
      <c r="AA49" s="4"/>
      <c r="AB49" s="2"/>
      <c r="AC49" s="2"/>
      <c r="AD49" s="2"/>
      <c r="AE49" s="11"/>
      <c r="AF49" s="2"/>
      <c r="AG49" s="4"/>
      <c r="AH49" s="2"/>
      <c r="AI49" s="2"/>
      <c r="AJ49" s="2"/>
      <c r="AK49" s="11"/>
      <c r="AL49" s="2"/>
      <c r="AM49" s="4"/>
      <c r="AN49" s="2"/>
      <c r="AO49" s="2"/>
      <c r="AP49" s="2"/>
      <c r="AQ49" s="11"/>
      <c r="AR49" s="2"/>
      <c r="AS49" s="4"/>
      <c r="AT49" s="2"/>
      <c r="AU49" s="2"/>
      <c r="AV49" s="2"/>
      <c r="AW49" s="11"/>
      <c r="AX49" s="2"/>
      <c r="AY49" s="4"/>
      <c r="AZ49" s="2"/>
      <c r="BA49" s="2"/>
      <c r="BB49" s="2"/>
      <c r="BC49" s="11"/>
      <c r="BD49" s="2"/>
      <c r="BE49" s="4"/>
      <c r="BF49" s="2"/>
      <c r="BG49" s="2"/>
      <c r="BH49" s="2"/>
      <c r="BI49" s="11"/>
      <c r="BJ49" s="2"/>
      <c r="BK49" s="4"/>
      <c r="BL49" s="2"/>
      <c r="BM49" s="2"/>
      <c r="BN49" s="2"/>
      <c r="BO49" s="11"/>
      <c r="BP49" s="2"/>
      <c r="BQ49" s="4"/>
      <c r="BR49" s="2"/>
      <c r="BS49" s="2"/>
    </row>
    <row r="50">
      <c r="A50" s="11"/>
      <c r="B50" s="2"/>
      <c r="C50" s="4"/>
      <c r="D50" s="2"/>
      <c r="E50" s="2"/>
      <c r="F50" s="2"/>
      <c r="G50" s="2"/>
      <c r="H50" s="2"/>
      <c r="I50" s="4"/>
      <c r="J50" s="2"/>
      <c r="K50" s="2"/>
      <c r="L50" s="2"/>
      <c r="M50" s="11"/>
      <c r="N50" s="2"/>
      <c r="O50" s="4"/>
      <c r="P50" s="2"/>
      <c r="Q50" s="2"/>
      <c r="R50" s="2"/>
      <c r="S50" s="11"/>
      <c r="T50" s="2"/>
      <c r="U50" s="4"/>
      <c r="V50" s="2"/>
      <c r="W50" s="2"/>
      <c r="X50" s="2"/>
      <c r="Y50" s="11"/>
      <c r="Z50" s="2"/>
      <c r="AA50" s="4"/>
      <c r="AB50" s="2"/>
      <c r="AC50" s="2"/>
      <c r="AD50" s="2"/>
      <c r="AE50" s="11"/>
      <c r="AF50" s="2"/>
      <c r="AG50" s="4"/>
      <c r="AH50" s="2"/>
      <c r="AI50" s="2"/>
      <c r="AJ50" s="2"/>
      <c r="AK50" s="11"/>
      <c r="AL50" s="2"/>
      <c r="AM50" s="4"/>
      <c r="AN50" s="2"/>
      <c r="AO50" s="2"/>
      <c r="AP50" s="2"/>
      <c r="AQ50" s="11"/>
      <c r="AR50" s="2"/>
      <c r="AS50" s="4"/>
      <c r="AT50" s="2"/>
      <c r="AU50" s="2"/>
      <c r="AV50" s="2"/>
      <c r="AW50" s="11"/>
      <c r="AX50" s="2"/>
      <c r="AY50" s="4"/>
      <c r="AZ50" s="2"/>
      <c r="BA50" s="2"/>
      <c r="BB50" s="2"/>
      <c r="BC50" s="11"/>
      <c r="BD50" s="2"/>
      <c r="BE50" s="4"/>
      <c r="BF50" s="2"/>
      <c r="BG50" s="2"/>
      <c r="BH50" s="2"/>
      <c r="BI50" s="11"/>
      <c r="BJ50" s="2"/>
      <c r="BK50" s="4"/>
      <c r="BL50" s="2"/>
      <c r="BM50" s="2"/>
      <c r="BN50" s="2"/>
      <c r="BO50" s="11"/>
      <c r="BP50" s="2"/>
      <c r="BQ50" s="4"/>
      <c r="BR50" s="2"/>
      <c r="BS50" s="2"/>
    </row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conditionalFormatting sqref="E3:E33 K3:K33 Q3:Q33 W3:W33 AC3:AC33 AI3:AI33 AO3:AO33 AU3:AU33 BA3:BA33 BG3:BG33 BM3:BM33 BS3:BS33">
    <cfRule type="cellIs" dxfId="4" priority="1" operator="between">
      <formula>0</formula>
      <formula>1000</formula>
    </cfRule>
  </conditionalFormatting>
  <conditionalFormatting sqref="E3:E33 K3:K33 Q3:Q33 W3:W33 AC3:AC33 AI3:AI33 AO3:AO33 AU3:AU33 BA3:BA33 BG3:BG33 BM3:BM33 BS3:BS33">
    <cfRule type="cellIs" dxfId="5" priority="2" operator="between">
      <formula>1000</formula>
      <formula>2000</formula>
    </cfRule>
  </conditionalFormatting>
  <conditionalFormatting sqref="E3:E33 K3:K33 Q3:Q33 W3:W33 AC3:AC33 AI3:AI33 AO3:AO33 AU3:AU33 BA3:BA33 BG3:BG33 BM3:BM33 BS3:BS33">
    <cfRule type="cellIs" dxfId="6" priority="3" operator="greaterThan">
      <formula>2000</formula>
    </cfRule>
  </conditionalFormatting>
  <conditionalFormatting sqref="E2:E36 K2:K36 Q2:Q36 W2:W36 AC2:AC36 AI2:AI36 AO2:AO36 AU2:AU36 BA2:BA36 BG2:BG36 BM2:BM36 BS2:BS36 E45:E50 K45:K50 Q45:Q50 W45:W50 AC45:AC50 AI45:AI50 AO45:AO50 AU45:AU50 BA45:BA50 BG45:BG50 BM45:BM50 BS45:BS50">
    <cfRule type="cellIs" dxfId="7" priority="4" operator="between">
      <formula>0</formula>
      <formula>-499.99</formula>
    </cfRule>
  </conditionalFormatting>
  <conditionalFormatting sqref="A1:D1 E1:E50 K2:K50 Q2:Q50 W2:W50 AC2:AC50 AI2:AI50 AO2:AO50 AU2:AU50 BA2:BA50 BG2:BG50 BM2:BM50 BS2:BS50">
    <cfRule type="cellIs" dxfId="8" priority="5" operator="lessThan">
      <formula>-500</formula>
    </cfRule>
  </conditionalFormatting>
  <drawing r:id="rId2"/>
  <legacyDrawing r:id="rId3"/>
  <tableParts count="29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.0"/>
    <col customWidth="1" min="12" max="12" width="3.0"/>
    <col customWidth="1" min="18" max="18" width="3.0"/>
    <col customWidth="1" min="24" max="24" width="3.0"/>
    <col customWidth="1" min="30" max="30" width="3.0"/>
    <col customWidth="1" min="36" max="36" width="3.0"/>
    <col customWidth="1" min="42" max="42" width="3.0"/>
    <col customWidth="1" min="48" max="48" width="3.0"/>
    <col customWidth="1" min="54" max="54" width="3.0"/>
    <col customWidth="1" min="60" max="60" width="3.0"/>
    <col customWidth="1" min="66" max="66" width="3.0"/>
  </cols>
  <sheetData>
    <row r="1">
      <c r="A1" s="1" t="s">
        <v>0</v>
      </c>
      <c r="F1" s="2"/>
      <c r="G1" s="1" t="s">
        <v>1</v>
      </c>
      <c r="L1" s="2"/>
      <c r="M1" s="1" t="s">
        <v>2</v>
      </c>
      <c r="R1" s="2"/>
      <c r="S1" s="1" t="s">
        <v>3</v>
      </c>
      <c r="X1" s="2"/>
      <c r="Y1" s="1" t="s">
        <v>4</v>
      </c>
      <c r="AD1" s="2"/>
      <c r="AE1" s="1" t="s">
        <v>5</v>
      </c>
      <c r="AJ1" s="2"/>
      <c r="AK1" s="1" t="s">
        <v>6</v>
      </c>
      <c r="AP1" s="2"/>
      <c r="AQ1" s="1" t="s">
        <v>7</v>
      </c>
      <c r="AV1" s="2"/>
      <c r="AW1" s="1" t="s">
        <v>8</v>
      </c>
      <c r="BB1" s="2"/>
      <c r="BC1" s="1" t="s">
        <v>9</v>
      </c>
      <c r="BH1" s="2"/>
      <c r="BI1" s="1" t="s">
        <v>10</v>
      </c>
      <c r="BN1" s="2"/>
      <c r="BO1" s="1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"/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2"/>
      <c r="M2" s="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2"/>
      <c r="S2" s="3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2"/>
      <c r="Y2" s="3" t="s">
        <v>12</v>
      </c>
      <c r="Z2" s="4" t="s">
        <v>13</v>
      </c>
      <c r="AA2" s="4" t="s">
        <v>14</v>
      </c>
      <c r="AB2" s="4" t="s">
        <v>15</v>
      </c>
      <c r="AC2" s="4" t="s">
        <v>16</v>
      </c>
      <c r="AD2" s="2"/>
      <c r="AE2" s="3" t="s">
        <v>12</v>
      </c>
      <c r="AF2" s="4" t="s">
        <v>13</v>
      </c>
      <c r="AG2" s="4" t="s">
        <v>14</v>
      </c>
      <c r="AH2" s="4" t="s">
        <v>15</v>
      </c>
      <c r="AI2" s="4" t="s">
        <v>16</v>
      </c>
      <c r="AJ2" s="2"/>
      <c r="AK2" s="3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2"/>
      <c r="AQ2" s="3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2"/>
      <c r="AW2" s="3" t="s">
        <v>12</v>
      </c>
      <c r="AX2" s="4" t="s">
        <v>13</v>
      </c>
      <c r="AY2" s="4" t="s">
        <v>14</v>
      </c>
      <c r="AZ2" s="4" t="s">
        <v>15</v>
      </c>
      <c r="BA2" s="4" t="s">
        <v>16</v>
      </c>
      <c r="BB2" s="2"/>
      <c r="BC2" s="3" t="s">
        <v>12</v>
      </c>
      <c r="BD2" s="4" t="s">
        <v>13</v>
      </c>
      <c r="BE2" s="4" t="s">
        <v>14</v>
      </c>
      <c r="BF2" s="4" t="s">
        <v>15</v>
      </c>
      <c r="BG2" s="4" t="s">
        <v>16</v>
      </c>
      <c r="BH2" s="2"/>
      <c r="BI2" s="3" t="s">
        <v>12</v>
      </c>
      <c r="BJ2" s="4" t="s">
        <v>13</v>
      </c>
      <c r="BK2" s="4" t="s">
        <v>14</v>
      </c>
      <c r="BL2" s="4" t="s">
        <v>15</v>
      </c>
      <c r="BM2" s="4" t="s">
        <v>16</v>
      </c>
      <c r="BN2" s="2"/>
      <c r="BO2" s="3" t="s">
        <v>12</v>
      </c>
      <c r="BP2" s="4" t="s">
        <v>13</v>
      </c>
      <c r="BQ2" s="4" t="s">
        <v>14</v>
      </c>
      <c r="BR2" s="4" t="s">
        <v>15</v>
      </c>
      <c r="BS2" s="4" t="s">
        <v>16</v>
      </c>
    </row>
    <row r="3">
      <c r="A3" s="5">
        <v>1.0</v>
      </c>
      <c r="B3" s="7"/>
      <c r="C3" s="6">
        <f>500</f>
        <v>500</v>
      </c>
      <c r="D3" s="6">
        <f t="shared" ref="D3:D33" si="1">154.85</f>
        <v>154.85</v>
      </c>
      <c r="E3" s="2">
        <f>'2025'!BS33+(B3)-(C3+D3)</f>
        <v>3518.69</v>
      </c>
      <c r="F3" s="2"/>
      <c r="G3" s="5">
        <v>1.0</v>
      </c>
      <c r="H3" s="7"/>
      <c r="I3" s="6">
        <f>500</f>
        <v>500</v>
      </c>
      <c r="J3" s="6">
        <f t="shared" ref="J3:J33" si="2">154.85</f>
        <v>154.85</v>
      </c>
      <c r="K3" s="8">
        <f>(E33)+(H3)-(I3+J3)</f>
        <v>7187.38</v>
      </c>
      <c r="L3" s="2"/>
      <c r="M3" s="5">
        <v>1.0</v>
      </c>
      <c r="N3" s="7"/>
      <c r="O3" s="6">
        <f>500</f>
        <v>500</v>
      </c>
      <c r="P3" s="6">
        <f t="shared" ref="P3:P33" si="3">154.85</f>
        <v>154.85</v>
      </c>
      <c r="Q3" s="8">
        <f>(K33)+(N3)-(O3+P3)</f>
        <v>11096.07</v>
      </c>
      <c r="R3" s="2"/>
      <c r="S3" s="5">
        <v>1.0</v>
      </c>
      <c r="T3" s="7"/>
      <c r="U3" s="6">
        <f>500</f>
        <v>500</v>
      </c>
      <c r="V3" s="6">
        <f t="shared" ref="V3:V33" si="4">154.85</f>
        <v>154.85</v>
      </c>
      <c r="W3" s="8">
        <f>(Q33)+(T3)-(U3+V3)</f>
        <v>15044.5</v>
      </c>
      <c r="X3" s="2"/>
      <c r="Y3" s="5">
        <v>1.0</v>
      </c>
      <c r="Z3" s="7"/>
      <c r="AA3" s="6">
        <f>500</f>
        <v>500</v>
      </c>
      <c r="AB3" s="6">
        <f t="shared" ref="AB3:AB33" si="5">154.85</f>
        <v>154.85</v>
      </c>
      <c r="AC3" s="8">
        <f>(W33)+(Z3)-(AA3+AB3)</f>
        <v>19072.92</v>
      </c>
      <c r="AD3" s="2"/>
      <c r="AE3" s="5">
        <v>1.0</v>
      </c>
      <c r="AF3" s="7"/>
      <c r="AG3" s="6">
        <f>500</f>
        <v>500</v>
      </c>
      <c r="AH3" s="6">
        <f t="shared" ref="AH3:AH33" si="6">154.85</f>
        <v>154.85</v>
      </c>
      <c r="AI3" s="8">
        <f>(AC33)+(AF3)-(AG3+AH3)</f>
        <v>23434.5</v>
      </c>
      <c r="AJ3" s="2"/>
      <c r="AK3" s="5">
        <v>1.0</v>
      </c>
      <c r="AL3" s="7"/>
      <c r="AM3" s="6">
        <f>500</f>
        <v>500</v>
      </c>
      <c r="AN3" s="6">
        <f t="shared" ref="AN3:AN33" si="7">154.85</f>
        <v>154.85</v>
      </c>
      <c r="AO3" s="8">
        <f>(AI33)+(AL3)-(AM3+AN3)</f>
        <v>27886.07</v>
      </c>
      <c r="AP3" s="2"/>
      <c r="AQ3" s="5">
        <v>1.0</v>
      </c>
      <c r="AR3" s="7"/>
      <c r="AS3" s="6">
        <f>500</f>
        <v>500</v>
      </c>
      <c r="AT3" s="6">
        <f t="shared" ref="AT3:AT33" si="8">154.85</f>
        <v>154.85</v>
      </c>
      <c r="AU3" s="8">
        <f>(AO33)+(AR3)-(AS3+AT3)</f>
        <v>32337.64</v>
      </c>
      <c r="AV3" s="2"/>
      <c r="AW3" s="5">
        <v>1.0</v>
      </c>
      <c r="AX3" s="7"/>
      <c r="AY3" s="6">
        <f>500</f>
        <v>500</v>
      </c>
      <c r="AZ3" s="6">
        <f t="shared" ref="AZ3:AZ33" si="9">154.85</f>
        <v>154.85</v>
      </c>
      <c r="BA3" s="8">
        <f>(AU33)+(AX3)-(AY3+AZ3)</f>
        <v>36852.89</v>
      </c>
      <c r="BB3" s="2"/>
      <c r="BC3" s="5">
        <v>1.0</v>
      </c>
      <c r="BD3" s="7"/>
      <c r="BE3" s="6">
        <f>500</f>
        <v>500</v>
      </c>
      <c r="BF3" s="6">
        <f t="shared" ref="BF3:BF33" si="10">154.85</f>
        <v>154.85</v>
      </c>
      <c r="BG3" s="8">
        <f>(BA33)+(BD3)-(BE3+BF3)</f>
        <v>41408.04</v>
      </c>
      <c r="BH3" s="2"/>
      <c r="BI3" s="5">
        <v>1.0</v>
      </c>
      <c r="BJ3" s="7"/>
      <c r="BK3" s="6">
        <f>500</f>
        <v>500</v>
      </c>
      <c r="BL3" s="6">
        <f t="shared" ref="BL3:BL33" si="11">154.85</f>
        <v>154.85</v>
      </c>
      <c r="BM3" s="8">
        <f>(BG33)+(BJ3)-(BK3+BL3)</f>
        <v>45963.19</v>
      </c>
      <c r="BN3" s="2"/>
      <c r="BO3" s="5">
        <v>1.0</v>
      </c>
      <c r="BP3" s="7"/>
      <c r="BQ3" s="6">
        <f>500</f>
        <v>500</v>
      </c>
      <c r="BR3" s="6">
        <f t="shared" ref="BR3:BR33" si="12">154.85</f>
        <v>154.85</v>
      </c>
      <c r="BS3" s="8">
        <f>(BM33)+(BP3)-(BQ3+BR3)</f>
        <v>50685.35</v>
      </c>
    </row>
    <row r="4">
      <c r="A4" s="5">
        <v>2.0</v>
      </c>
      <c r="B4" s="7"/>
      <c r="C4" s="7"/>
      <c r="D4" s="6">
        <f t="shared" si="1"/>
        <v>154.85</v>
      </c>
      <c r="E4" s="2">
        <f t="shared" ref="E4:E33" si="13">(E3)+(B4)-(C4+D4)</f>
        <v>3363.84</v>
      </c>
      <c r="F4" s="2"/>
      <c r="G4" s="5">
        <v>2.0</v>
      </c>
      <c r="H4" s="7"/>
      <c r="I4" s="7"/>
      <c r="J4" s="6">
        <f t="shared" si="2"/>
        <v>154.85</v>
      </c>
      <c r="K4" s="2">
        <f t="shared" ref="K4:K33" si="14">(K3)+(H4)-(I4+J4)</f>
        <v>7032.53</v>
      </c>
      <c r="L4" s="2"/>
      <c r="M4" s="5">
        <v>2.0</v>
      </c>
      <c r="N4" s="7"/>
      <c r="O4" s="7"/>
      <c r="P4" s="6">
        <f t="shared" si="3"/>
        <v>154.85</v>
      </c>
      <c r="Q4" s="2">
        <f t="shared" ref="Q4:Q33" si="15">(Q3)+(N4)-(O4+P4)</f>
        <v>10941.22</v>
      </c>
      <c r="R4" s="2"/>
      <c r="S4" s="5">
        <v>2.0</v>
      </c>
      <c r="T4" s="7"/>
      <c r="U4" s="7"/>
      <c r="V4" s="6">
        <f t="shared" si="4"/>
        <v>154.85</v>
      </c>
      <c r="W4" s="2">
        <f t="shared" ref="W4:W33" si="16">(W3)+(T4)-(U4+V4)</f>
        <v>14889.65</v>
      </c>
      <c r="X4" s="2"/>
      <c r="Y4" s="5">
        <v>2.0</v>
      </c>
      <c r="Z4" s="7"/>
      <c r="AA4" s="7"/>
      <c r="AB4" s="6">
        <f t="shared" si="5"/>
        <v>154.85</v>
      </c>
      <c r="AC4" s="2">
        <f t="shared" ref="AC4:AC33" si="17">(AC3)+(Z4)-(AA4+AB4)</f>
        <v>18918.07</v>
      </c>
      <c r="AD4" s="2"/>
      <c r="AE4" s="5">
        <v>2.0</v>
      </c>
      <c r="AF4" s="7"/>
      <c r="AG4" s="7"/>
      <c r="AH4" s="6">
        <f t="shared" si="6"/>
        <v>154.85</v>
      </c>
      <c r="AI4" s="2">
        <f t="shared" ref="AI4:AI33" si="18">(AI3)+(AF4)-(AG4+AH4)</f>
        <v>23279.65</v>
      </c>
      <c r="AJ4" s="2"/>
      <c r="AK4" s="5">
        <v>2.0</v>
      </c>
      <c r="AL4" s="7"/>
      <c r="AM4" s="7"/>
      <c r="AN4" s="6">
        <f t="shared" si="7"/>
        <v>154.85</v>
      </c>
      <c r="AO4" s="2">
        <f t="shared" ref="AO4:AO33" si="19">(AO3)+(AL4)-(AM4+AN4)</f>
        <v>27731.22</v>
      </c>
      <c r="AP4" s="2"/>
      <c r="AQ4" s="5">
        <v>2.0</v>
      </c>
      <c r="AR4" s="7"/>
      <c r="AS4" s="7"/>
      <c r="AT4" s="6">
        <f t="shared" si="8"/>
        <v>154.85</v>
      </c>
      <c r="AU4" s="2">
        <f t="shared" ref="AU4:AU33" si="20">(AU3)+(AR4)-(AS4+AT4)</f>
        <v>32182.79</v>
      </c>
      <c r="AV4" s="2"/>
      <c r="AW4" s="5">
        <v>2.0</v>
      </c>
      <c r="AX4" s="7"/>
      <c r="AY4" s="7"/>
      <c r="AZ4" s="6">
        <f t="shared" si="9"/>
        <v>154.85</v>
      </c>
      <c r="BA4" s="2">
        <f t="shared" ref="BA4:BA33" si="21">(BA3)+(AX4)-(AY4+AZ4)</f>
        <v>36698.04</v>
      </c>
      <c r="BB4" s="2"/>
      <c r="BC4" s="5">
        <v>2.0</v>
      </c>
      <c r="BD4" s="7"/>
      <c r="BE4" s="7"/>
      <c r="BF4" s="6">
        <f t="shared" si="10"/>
        <v>154.85</v>
      </c>
      <c r="BG4" s="2">
        <f t="shared" ref="BG4:BG33" si="22">(BG3)+(BD4)-(BE4+BF4)</f>
        <v>41253.19</v>
      </c>
      <c r="BH4" s="2"/>
      <c r="BI4" s="5">
        <v>2.0</v>
      </c>
      <c r="BJ4" s="7"/>
      <c r="BK4" s="7"/>
      <c r="BL4" s="6">
        <f t="shared" si="11"/>
        <v>154.85</v>
      </c>
      <c r="BM4" s="2">
        <f t="shared" ref="BM4:BM33" si="23">(BM3)+(BJ4)-(BK4+BL4)</f>
        <v>45808.34</v>
      </c>
      <c r="BN4" s="2"/>
      <c r="BO4" s="5">
        <v>2.0</v>
      </c>
      <c r="BP4" s="7"/>
      <c r="BQ4" s="7"/>
      <c r="BR4" s="6">
        <f t="shared" si="12"/>
        <v>154.85</v>
      </c>
      <c r="BS4" s="2">
        <f t="shared" ref="BS4:BS33" si="24">(BS3)+(BP4)-(BQ4+BR4)</f>
        <v>50530.5</v>
      </c>
    </row>
    <row r="5">
      <c r="A5" s="5">
        <v>3.0</v>
      </c>
      <c r="B5" s="7"/>
      <c r="C5" s="7"/>
      <c r="D5" s="6">
        <f t="shared" si="1"/>
        <v>154.85</v>
      </c>
      <c r="E5" s="2">
        <f t="shared" si="13"/>
        <v>3208.99</v>
      </c>
      <c r="F5" s="2"/>
      <c r="G5" s="5">
        <v>3.0</v>
      </c>
      <c r="H5" s="7"/>
      <c r="I5" s="7"/>
      <c r="J5" s="6">
        <f t="shared" si="2"/>
        <v>154.85</v>
      </c>
      <c r="K5" s="2">
        <f t="shared" si="14"/>
        <v>6877.68</v>
      </c>
      <c r="L5" s="2"/>
      <c r="M5" s="5">
        <v>3.0</v>
      </c>
      <c r="N5" s="7"/>
      <c r="O5" s="7"/>
      <c r="P5" s="6">
        <f t="shared" si="3"/>
        <v>154.85</v>
      </c>
      <c r="Q5" s="2">
        <f t="shared" si="15"/>
        <v>10786.37</v>
      </c>
      <c r="R5" s="2"/>
      <c r="S5" s="5">
        <v>3.0</v>
      </c>
      <c r="T5" s="7"/>
      <c r="U5" s="7"/>
      <c r="V5" s="6">
        <f t="shared" si="4"/>
        <v>154.85</v>
      </c>
      <c r="W5" s="2">
        <f t="shared" si="16"/>
        <v>14734.8</v>
      </c>
      <c r="X5" s="2"/>
      <c r="Y5" s="5">
        <v>3.0</v>
      </c>
      <c r="Z5" s="7"/>
      <c r="AA5" s="7"/>
      <c r="AB5" s="6">
        <f t="shared" si="5"/>
        <v>154.85</v>
      </c>
      <c r="AC5" s="2">
        <f t="shared" si="17"/>
        <v>18763.22</v>
      </c>
      <c r="AD5" s="2"/>
      <c r="AE5" s="5">
        <v>3.0</v>
      </c>
      <c r="AF5" s="7"/>
      <c r="AG5" s="7"/>
      <c r="AH5" s="6">
        <f t="shared" si="6"/>
        <v>154.85</v>
      </c>
      <c r="AI5" s="2">
        <f t="shared" si="18"/>
        <v>23124.8</v>
      </c>
      <c r="AJ5" s="2"/>
      <c r="AK5" s="5">
        <v>3.0</v>
      </c>
      <c r="AL5" s="7"/>
      <c r="AM5" s="7"/>
      <c r="AN5" s="6">
        <f t="shared" si="7"/>
        <v>154.85</v>
      </c>
      <c r="AO5" s="2">
        <f t="shared" si="19"/>
        <v>27576.37</v>
      </c>
      <c r="AP5" s="2"/>
      <c r="AQ5" s="5">
        <v>3.0</v>
      </c>
      <c r="AR5" s="7"/>
      <c r="AS5" s="7"/>
      <c r="AT5" s="6">
        <f t="shared" si="8"/>
        <v>154.85</v>
      </c>
      <c r="AU5" s="2">
        <f t="shared" si="20"/>
        <v>32027.94</v>
      </c>
      <c r="AV5" s="2"/>
      <c r="AW5" s="5">
        <v>3.0</v>
      </c>
      <c r="AX5" s="7"/>
      <c r="AY5" s="7"/>
      <c r="AZ5" s="6">
        <f t="shared" si="9"/>
        <v>154.85</v>
      </c>
      <c r="BA5" s="2">
        <f t="shared" si="21"/>
        <v>36543.19</v>
      </c>
      <c r="BB5" s="2"/>
      <c r="BC5" s="5">
        <v>3.0</v>
      </c>
      <c r="BD5" s="7"/>
      <c r="BE5" s="7"/>
      <c r="BF5" s="6">
        <f t="shared" si="10"/>
        <v>154.85</v>
      </c>
      <c r="BG5" s="2">
        <f t="shared" si="22"/>
        <v>41098.34</v>
      </c>
      <c r="BH5" s="2"/>
      <c r="BI5" s="5">
        <v>3.0</v>
      </c>
      <c r="BJ5" s="7"/>
      <c r="BK5" s="7"/>
      <c r="BL5" s="6">
        <f t="shared" si="11"/>
        <v>154.85</v>
      </c>
      <c r="BM5" s="2">
        <f t="shared" si="23"/>
        <v>45653.49</v>
      </c>
      <c r="BN5" s="2"/>
      <c r="BO5" s="5">
        <v>3.0</v>
      </c>
      <c r="BP5" s="7"/>
      <c r="BQ5" s="7"/>
      <c r="BR5" s="6">
        <f t="shared" si="12"/>
        <v>154.85</v>
      </c>
      <c r="BS5" s="2">
        <f t="shared" si="24"/>
        <v>50375.65</v>
      </c>
    </row>
    <row r="6">
      <c r="A6" s="5">
        <v>4.0</v>
      </c>
      <c r="B6" s="7"/>
      <c r="C6" s="7"/>
      <c r="D6" s="6">
        <f t="shared" si="1"/>
        <v>154.85</v>
      </c>
      <c r="E6" s="2">
        <f t="shared" si="13"/>
        <v>3054.14</v>
      </c>
      <c r="F6" s="2"/>
      <c r="G6" s="5">
        <v>4.0</v>
      </c>
      <c r="H6" s="7"/>
      <c r="I6" s="7"/>
      <c r="J6" s="6">
        <f t="shared" si="2"/>
        <v>154.85</v>
      </c>
      <c r="K6" s="2">
        <f t="shared" si="14"/>
        <v>6722.83</v>
      </c>
      <c r="L6" s="2"/>
      <c r="M6" s="5">
        <v>4.0</v>
      </c>
      <c r="N6" s="7"/>
      <c r="O6" s="7"/>
      <c r="P6" s="6">
        <f t="shared" si="3"/>
        <v>154.85</v>
      </c>
      <c r="Q6" s="2">
        <f t="shared" si="15"/>
        <v>10631.52</v>
      </c>
      <c r="R6" s="2"/>
      <c r="S6" s="5">
        <v>4.0</v>
      </c>
      <c r="T6" s="7"/>
      <c r="U6" s="7"/>
      <c r="V6" s="6">
        <f t="shared" si="4"/>
        <v>154.85</v>
      </c>
      <c r="W6" s="2">
        <f t="shared" si="16"/>
        <v>14579.95</v>
      </c>
      <c r="X6" s="2"/>
      <c r="Y6" s="5">
        <v>4.0</v>
      </c>
      <c r="Z6" s="7"/>
      <c r="AA6" s="7"/>
      <c r="AB6" s="6">
        <f t="shared" si="5"/>
        <v>154.85</v>
      </c>
      <c r="AC6" s="2">
        <f t="shared" si="17"/>
        <v>18608.37</v>
      </c>
      <c r="AD6" s="2"/>
      <c r="AE6" s="5">
        <v>4.0</v>
      </c>
      <c r="AF6" s="7"/>
      <c r="AG6" s="7"/>
      <c r="AH6" s="6">
        <f t="shared" si="6"/>
        <v>154.85</v>
      </c>
      <c r="AI6" s="2">
        <f t="shared" si="18"/>
        <v>22969.95</v>
      </c>
      <c r="AJ6" s="2"/>
      <c r="AK6" s="5">
        <v>4.0</v>
      </c>
      <c r="AL6" s="7"/>
      <c r="AM6" s="7"/>
      <c r="AN6" s="6">
        <f t="shared" si="7"/>
        <v>154.85</v>
      </c>
      <c r="AO6" s="2">
        <f t="shared" si="19"/>
        <v>27421.52</v>
      </c>
      <c r="AP6" s="2"/>
      <c r="AQ6" s="5">
        <v>4.0</v>
      </c>
      <c r="AR6" s="7"/>
      <c r="AS6" s="7"/>
      <c r="AT6" s="6">
        <f t="shared" si="8"/>
        <v>154.85</v>
      </c>
      <c r="AU6" s="2">
        <f t="shared" si="20"/>
        <v>31873.09</v>
      </c>
      <c r="AV6" s="2"/>
      <c r="AW6" s="5">
        <v>4.0</v>
      </c>
      <c r="AX6" s="7"/>
      <c r="AY6" s="7"/>
      <c r="AZ6" s="6">
        <f t="shared" si="9"/>
        <v>154.85</v>
      </c>
      <c r="BA6" s="2">
        <f t="shared" si="21"/>
        <v>36388.34</v>
      </c>
      <c r="BB6" s="2"/>
      <c r="BC6" s="5">
        <v>4.0</v>
      </c>
      <c r="BD6" s="7"/>
      <c r="BE6" s="7"/>
      <c r="BF6" s="6">
        <f t="shared" si="10"/>
        <v>154.85</v>
      </c>
      <c r="BG6" s="2">
        <f t="shared" si="22"/>
        <v>40943.49</v>
      </c>
      <c r="BH6" s="2"/>
      <c r="BI6" s="5">
        <v>4.0</v>
      </c>
      <c r="BJ6" s="7"/>
      <c r="BK6" s="7"/>
      <c r="BL6" s="6">
        <f t="shared" si="11"/>
        <v>154.85</v>
      </c>
      <c r="BM6" s="2">
        <f t="shared" si="23"/>
        <v>45498.64</v>
      </c>
      <c r="BN6" s="2"/>
      <c r="BO6" s="5">
        <v>4.0</v>
      </c>
      <c r="BP6" s="7"/>
      <c r="BQ6" s="7"/>
      <c r="BR6" s="6">
        <f t="shared" si="12"/>
        <v>154.85</v>
      </c>
      <c r="BS6" s="2">
        <f t="shared" si="24"/>
        <v>50220.8</v>
      </c>
    </row>
    <row r="7">
      <c r="A7" s="5">
        <v>5.0</v>
      </c>
      <c r="B7" s="7"/>
      <c r="C7" s="9"/>
      <c r="D7" s="6">
        <f t="shared" si="1"/>
        <v>154.85</v>
      </c>
      <c r="E7" s="2">
        <f t="shared" si="13"/>
        <v>2899.29</v>
      </c>
      <c r="F7" s="2"/>
      <c r="G7" s="5">
        <v>5.0</v>
      </c>
      <c r="H7" s="7"/>
      <c r="I7" s="9"/>
      <c r="J7" s="6">
        <f t="shared" si="2"/>
        <v>154.85</v>
      </c>
      <c r="K7" s="2">
        <f t="shared" si="14"/>
        <v>6567.98</v>
      </c>
      <c r="L7" s="2"/>
      <c r="M7" s="5">
        <v>5.0</v>
      </c>
      <c r="N7" s="7"/>
      <c r="O7" s="9"/>
      <c r="P7" s="6">
        <f t="shared" si="3"/>
        <v>154.85</v>
      </c>
      <c r="Q7" s="2">
        <f t="shared" si="15"/>
        <v>10476.67</v>
      </c>
      <c r="R7" s="2"/>
      <c r="S7" s="5">
        <v>5.0</v>
      </c>
      <c r="T7" s="7"/>
      <c r="U7" s="9"/>
      <c r="V7" s="6">
        <f t="shared" si="4"/>
        <v>154.85</v>
      </c>
      <c r="W7" s="2">
        <f t="shared" si="16"/>
        <v>14425.1</v>
      </c>
      <c r="X7" s="2"/>
      <c r="Y7" s="5">
        <v>5.0</v>
      </c>
      <c r="Z7" s="7"/>
      <c r="AA7" s="9"/>
      <c r="AB7" s="6">
        <f t="shared" si="5"/>
        <v>154.85</v>
      </c>
      <c r="AC7" s="2">
        <f t="shared" si="17"/>
        <v>18453.52</v>
      </c>
      <c r="AD7" s="2"/>
      <c r="AE7" s="5">
        <v>5.0</v>
      </c>
      <c r="AF7" s="7"/>
      <c r="AG7" s="9"/>
      <c r="AH7" s="6">
        <f t="shared" si="6"/>
        <v>154.85</v>
      </c>
      <c r="AI7" s="2">
        <f t="shared" si="18"/>
        <v>22815.1</v>
      </c>
      <c r="AJ7" s="2"/>
      <c r="AK7" s="5">
        <v>5.0</v>
      </c>
      <c r="AL7" s="7"/>
      <c r="AM7" s="9"/>
      <c r="AN7" s="6">
        <f t="shared" si="7"/>
        <v>154.85</v>
      </c>
      <c r="AO7" s="2">
        <f t="shared" si="19"/>
        <v>27266.67</v>
      </c>
      <c r="AP7" s="2"/>
      <c r="AQ7" s="5">
        <v>5.0</v>
      </c>
      <c r="AR7" s="7"/>
      <c r="AS7" s="9"/>
      <c r="AT7" s="6">
        <f t="shared" si="8"/>
        <v>154.85</v>
      </c>
      <c r="AU7" s="2">
        <f t="shared" si="20"/>
        <v>31718.24</v>
      </c>
      <c r="AV7" s="2"/>
      <c r="AW7" s="5">
        <v>5.0</v>
      </c>
      <c r="AX7" s="7"/>
      <c r="AY7" s="9"/>
      <c r="AZ7" s="6">
        <f t="shared" si="9"/>
        <v>154.85</v>
      </c>
      <c r="BA7" s="2">
        <f t="shared" si="21"/>
        <v>36233.49</v>
      </c>
      <c r="BB7" s="2"/>
      <c r="BC7" s="5">
        <v>5.0</v>
      </c>
      <c r="BD7" s="7"/>
      <c r="BE7" s="9"/>
      <c r="BF7" s="6">
        <f t="shared" si="10"/>
        <v>154.85</v>
      </c>
      <c r="BG7" s="2">
        <f t="shared" si="22"/>
        <v>40788.64</v>
      </c>
      <c r="BH7" s="2"/>
      <c r="BI7" s="5">
        <v>5.0</v>
      </c>
      <c r="BJ7" s="7"/>
      <c r="BK7" s="9"/>
      <c r="BL7" s="6">
        <f t="shared" si="11"/>
        <v>154.85</v>
      </c>
      <c r="BM7" s="2">
        <f t="shared" si="23"/>
        <v>45343.79</v>
      </c>
      <c r="BN7" s="2"/>
      <c r="BO7" s="5">
        <v>5.0</v>
      </c>
      <c r="BP7" s="7"/>
      <c r="BQ7" s="9"/>
      <c r="BR7" s="6">
        <f t="shared" si="12"/>
        <v>154.85</v>
      </c>
      <c r="BS7" s="2">
        <f t="shared" si="24"/>
        <v>50065.95</v>
      </c>
    </row>
    <row r="8">
      <c r="A8" s="5">
        <v>6.0</v>
      </c>
      <c r="B8" s="7"/>
      <c r="C8" s="7"/>
      <c r="D8" s="6">
        <f t="shared" si="1"/>
        <v>154.85</v>
      </c>
      <c r="E8" s="2">
        <f t="shared" si="13"/>
        <v>2744.44</v>
      </c>
      <c r="F8" s="2"/>
      <c r="G8" s="5">
        <v>6.0</v>
      </c>
      <c r="H8" s="7"/>
      <c r="I8" s="7"/>
      <c r="J8" s="6">
        <f t="shared" si="2"/>
        <v>154.85</v>
      </c>
      <c r="K8" s="2">
        <f t="shared" si="14"/>
        <v>6413.13</v>
      </c>
      <c r="L8" s="2"/>
      <c r="M8" s="5">
        <v>6.0</v>
      </c>
      <c r="N8" s="7"/>
      <c r="O8" s="7"/>
      <c r="P8" s="6">
        <f t="shared" si="3"/>
        <v>154.85</v>
      </c>
      <c r="Q8" s="2">
        <f t="shared" si="15"/>
        <v>10321.82</v>
      </c>
      <c r="R8" s="2"/>
      <c r="S8" s="5">
        <v>6.0</v>
      </c>
      <c r="T8" s="7"/>
      <c r="U8" s="7"/>
      <c r="V8" s="6">
        <f t="shared" si="4"/>
        <v>154.85</v>
      </c>
      <c r="W8" s="2">
        <f t="shared" si="16"/>
        <v>14270.25</v>
      </c>
      <c r="X8" s="2"/>
      <c r="Y8" s="5">
        <v>6.0</v>
      </c>
      <c r="Z8" s="7"/>
      <c r="AA8" s="7"/>
      <c r="AB8" s="6">
        <f t="shared" si="5"/>
        <v>154.85</v>
      </c>
      <c r="AC8" s="2">
        <f t="shared" si="17"/>
        <v>18298.67</v>
      </c>
      <c r="AD8" s="2"/>
      <c r="AE8" s="5">
        <v>6.0</v>
      </c>
      <c r="AF8" s="7"/>
      <c r="AG8" s="7"/>
      <c r="AH8" s="6">
        <f t="shared" si="6"/>
        <v>154.85</v>
      </c>
      <c r="AI8" s="2">
        <f t="shared" si="18"/>
        <v>22660.25</v>
      </c>
      <c r="AJ8" s="2"/>
      <c r="AK8" s="5">
        <v>6.0</v>
      </c>
      <c r="AL8" s="7"/>
      <c r="AM8" s="7"/>
      <c r="AN8" s="6">
        <f t="shared" si="7"/>
        <v>154.85</v>
      </c>
      <c r="AO8" s="2">
        <f t="shared" si="19"/>
        <v>27111.82</v>
      </c>
      <c r="AP8" s="2"/>
      <c r="AQ8" s="5">
        <v>6.0</v>
      </c>
      <c r="AR8" s="7"/>
      <c r="AS8" s="7"/>
      <c r="AT8" s="6">
        <f t="shared" si="8"/>
        <v>154.85</v>
      </c>
      <c r="AU8" s="2">
        <f t="shared" si="20"/>
        <v>31563.39</v>
      </c>
      <c r="AV8" s="2"/>
      <c r="AW8" s="5">
        <v>6.0</v>
      </c>
      <c r="AX8" s="7"/>
      <c r="AY8" s="7"/>
      <c r="AZ8" s="6">
        <f t="shared" si="9"/>
        <v>154.85</v>
      </c>
      <c r="BA8" s="2">
        <f t="shared" si="21"/>
        <v>36078.64</v>
      </c>
      <c r="BB8" s="2"/>
      <c r="BC8" s="5">
        <v>6.0</v>
      </c>
      <c r="BD8" s="7"/>
      <c r="BE8" s="7"/>
      <c r="BF8" s="6">
        <f t="shared" si="10"/>
        <v>154.85</v>
      </c>
      <c r="BG8" s="2">
        <f t="shared" si="22"/>
        <v>40633.79</v>
      </c>
      <c r="BH8" s="2"/>
      <c r="BI8" s="5">
        <v>6.0</v>
      </c>
      <c r="BJ8" s="7"/>
      <c r="BK8" s="7"/>
      <c r="BL8" s="6">
        <f t="shared" si="11"/>
        <v>154.85</v>
      </c>
      <c r="BM8" s="2">
        <f t="shared" si="23"/>
        <v>45188.94</v>
      </c>
      <c r="BN8" s="2"/>
      <c r="BO8" s="5">
        <v>6.0</v>
      </c>
      <c r="BP8" s="7"/>
      <c r="BQ8" s="7"/>
      <c r="BR8" s="6">
        <f t="shared" si="12"/>
        <v>154.85</v>
      </c>
      <c r="BS8" s="2">
        <f t="shared" si="24"/>
        <v>49911.1</v>
      </c>
    </row>
    <row r="9">
      <c r="A9" s="5">
        <v>7.0</v>
      </c>
      <c r="B9" s="7"/>
      <c r="C9" s="7"/>
      <c r="D9" s="6">
        <f t="shared" si="1"/>
        <v>154.85</v>
      </c>
      <c r="E9" s="2">
        <f t="shared" si="13"/>
        <v>2589.59</v>
      </c>
      <c r="F9" s="2"/>
      <c r="G9" s="5">
        <v>7.0</v>
      </c>
      <c r="H9" s="7"/>
      <c r="I9" s="7"/>
      <c r="J9" s="6">
        <f t="shared" si="2"/>
        <v>154.85</v>
      </c>
      <c r="K9" s="2">
        <f t="shared" si="14"/>
        <v>6258.28</v>
      </c>
      <c r="L9" s="2"/>
      <c r="M9" s="5">
        <v>7.0</v>
      </c>
      <c r="N9" s="7"/>
      <c r="O9" s="7"/>
      <c r="P9" s="6">
        <f t="shared" si="3"/>
        <v>154.85</v>
      </c>
      <c r="Q9" s="2">
        <f t="shared" si="15"/>
        <v>10166.97</v>
      </c>
      <c r="R9" s="2"/>
      <c r="S9" s="5">
        <v>7.0</v>
      </c>
      <c r="T9" s="7"/>
      <c r="U9" s="7"/>
      <c r="V9" s="6">
        <f t="shared" si="4"/>
        <v>154.85</v>
      </c>
      <c r="W9" s="2">
        <f t="shared" si="16"/>
        <v>14115.4</v>
      </c>
      <c r="X9" s="2"/>
      <c r="Y9" s="5">
        <v>7.0</v>
      </c>
      <c r="Z9" s="7"/>
      <c r="AA9" s="7"/>
      <c r="AB9" s="6">
        <f t="shared" si="5"/>
        <v>154.85</v>
      </c>
      <c r="AC9" s="2">
        <f t="shared" si="17"/>
        <v>18143.82</v>
      </c>
      <c r="AD9" s="2"/>
      <c r="AE9" s="5">
        <v>7.0</v>
      </c>
      <c r="AF9" s="7"/>
      <c r="AG9" s="7"/>
      <c r="AH9" s="6">
        <f t="shared" si="6"/>
        <v>154.85</v>
      </c>
      <c r="AI9" s="2">
        <f t="shared" si="18"/>
        <v>22505.4</v>
      </c>
      <c r="AJ9" s="2"/>
      <c r="AK9" s="5">
        <v>7.0</v>
      </c>
      <c r="AL9" s="7"/>
      <c r="AM9" s="7"/>
      <c r="AN9" s="6">
        <f t="shared" si="7"/>
        <v>154.85</v>
      </c>
      <c r="AO9" s="2">
        <f t="shared" si="19"/>
        <v>26956.97</v>
      </c>
      <c r="AP9" s="2"/>
      <c r="AQ9" s="5">
        <v>7.0</v>
      </c>
      <c r="AR9" s="7"/>
      <c r="AS9" s="7"/>
      <c r="AT9" s="6">
        <f t="shared" si="8"/>
        <v>154.85</v>
      </c>
      <c r="AU9" s="2">
        <f t="shared" si="20"/>
        <v>31408.54</v>
      </c>
      <c r="AV9" s="2"/>
      <c r="AW9" s="5">
        <v>7.0</v>
      </c>
      <c r="AX9" s="7"/>
      <c r="AY9" s="7"/>
      <c r="AZ9" s="6">
        <f t="shared" si="9"/>
        <v>154.85</v>
      </c>
      <c r="BA9" s="2">
        <f t="shared" si="21"/>
        <v>35923.79</v>
      </c>
      <c r="BB9" s="2"/>
      <c r="BC9" s="5">
        <v>7.0</v>
      </c>
      <c r="BD9" s="7"/>
      <c r="BE9" s="7"/>
      <c r="BF9" s="6">
        <f t="shared" si="10"/>
        <v>154.85</v>
      </c>
      <c r="BG9" s="2">
        <f t="shared" si="22"/>
        <v>40478.94</v>
      </c>
      <c r="BH9" s="2"/>
      <c r="BI9" s="5">
        <v>7.0</v>
      </c>
      <c r="BJ9" s="7"/>
      <c r="BK9" s="7"/>
      <c r="BL9" s="6">
        <f t="shared" si="11"/>
        <v>154.85</v>
      </c>
      <c r="BM9" s="2">
        <f t="shared" si="23"/>
        <v>45034.09</v>
      </c>
      <c r="BN9" s="2"/>
      <c r="BO9" s="5">
        <v>7.0</v>
      </c>
      <c r="BP9" s="7"/>
      <c r="BQ9" s="7"/>
      <c r="BR9" s="6">
        <f t="shared" si="12"/>
        <v>154.85</v>
      </c>
      <c r="BS9" s="2">
        <f t="shared" si="24"/>
        <v>49756.25</v>
      </c>
    </row>
    <row r="10">
      <c r="A10" s="5">
        <v>8.0</v>
      </c>
      <c r="B10" s="7"/>
      <c r="C10" s="7"/>
      <c r="D10" s="6">
        <f t="shared" si="1"/>
        <v>154.85</v>
      </c>
      <c r="E10" s="2">
        <f t="shared" si="13"/>
        <v>2434.74</v>
      </c>
      <c r="F10" s="2"/>
      <c r="G10" s="5">
        <v>8.0</v>
      </c>
      <c r="H10" s="7"/>
      <c r="I10" s="7"/>
      <c r="J10" s="6">
        <f t="shared" si="2"/>
        <v>154.85</v>
      </c>
      <c r="K10" s="2">
        <f t="shared" si="14"/>
        <v>6103.43</v>
      </c>
      <c r="L10" s="2"/>
      <c r="M10" s="5">
        <v>8.0</v>
      </c>
      <c r="N10" s="7"/>
      <c r="O10" s="7"/>
      <c r="P10" s="6">
        <f t="shared" si="3"/>
        <v>154.85</v>
      </c>
      <c r="Q10" s="2">
        <f t="shared" si="15"/>
        <v>10012.12</v>
      </c>
      <c r="R10" s="2"/>
      <c r="S10" s="5">
        <v>8.0</v>
      </c>
      <c r="T10" s="7"/>
      <c r="U10" s="7"/>
      <c r="V10" s="6">
        <f t="shared" si="4"/>
        <v>154.85</v>
      </c>
      <c r="W10" s="2">
        <f t="shared" si="16"/>
        <v>13960.55</v>
      </c>
      <c r="X10" s="2"/>
      <c r="Y10" s="5">
        <v>8.0</v>
      </c>
      <c r="Z10" s="7"/>
      <c r="AA10" s="7"/>
      <c r="AB10" s="6">
        <f t="shared" si="5"/>
        <v>154.85</v>
      </c>
      <c r="AC10" s="2">
        <f t="shared" si="17"/>
        <v>17988.97</v>
      </c>
      <c r="AD10" s="2"/>
      <c r="AE10" s="5">
        <v>8.0</v>
      </c>
      <c r="AF10" s="7"/>
      <c r="AG10" s="7"/>
      <c r="AH10" s="6">
        <f t="shared" si="6"/>
        <v>154.85</v>
      </c>
      <c r="AI10" s="2">
        <f t="shared" si="18"/>
        <v>22350.55</v>
      </c>
      <c r="AJ10" s="2"/>
      <c r="AK10" s="5">
        <v>8.0</v>
      </c>
      <c r="AL10" s="7"/>
      <c r="AM10" s="7"/>
      <c r="AN10" s="6">
        <f t="shared" si="7"/>
        <v>154.85</v>
      </c>
      <c r="AO10" s="2">
        <f t="shared" si="19"/>
        <v>26802.12</v>
      </c>
      <c r="AP10" s="2"/>
      <c r="AQ10" s="5">
        <v>8.0</v>
      </c>
      <c r="AR10" s="7"/>
      <c r="AS10" s="7"/>
      <c r="AT10" s="6">
        <f t="shared" si="8"/>
        <v>154.85</v>
      </c>
      <c r="AU10" s="2">
        <f t="shared" si="20"/>
        <v>31253.69</v>
      </c>
      <c r="AV10" s="2"/>
      <c r="AW10" s="5">
        <v>8.0</v>
      </c>
      <c r="AX10" s="7"/>
      <c r="AY10" s="7"/>
      <c r="AZ10" s="6">
        <f t="shared" si="9"/>
        <v>154.85</v>
      </c>
      <c r="BA10" s="2">
        <f t="shared" si="21"/>
        <v>35768.94</v>
      </c>
      <c r="BB10" s="2"/>
      <c r="BC10" s="5">
        <v>8.0</v>
      </c>
      <c r="BD10" s="7"/>
      <c r="BE10" s="7"/>
      <c r="BF10" s="6">
        <f t="shared" si="10"/>
        <v>154.85</v>
      </c>
      <c r="BG10" s="2">
        <f t="shared" si="22"/>
        <v>40324.09</v>
      </c>
      <c r="BH10" s="2"/>
      <c r="BI10" s="5">
        <v>8.0</v>
      </c>
      <c r="BJ10" s="7"/>
      <c r="BK10" s="7"/>
      <c r="BL10" s="6">
        <f t="shared" si="11"/>
        <v>154.85</v>
      </c>
      <c r="BM10" s="2">
        <f t="shared" si="23"/>
        <v>44879.24</v>
      </c>
      <c r="BN10" s="2"/>
      <c r="BO10" s="5">
        <v>8.0</v>
      </c>
      <c r="BP10" s="7"/>
      <c r="BQ10" s="7"/>
      <c r="BR10" s="6">
        <f t="shared" si="12"/>
        <v>154.85</v>
      </c>
      <c r="BS10" s="2">
        <f t="shared" si="24"/>
        <v>49601.4</v>
      </c>
    </row>
    <row r="11">
      <c r="A11" s="5">
        <v>9.0</v>
      </c>
      <c r="B11" s="7"/>
      <c r="C11" s="7"/>
      <c r="D11" s="6">
        <f t="shared" si="1"/>
        <v>154.85</v>
      </c>
      <c r="E11" s="2">
        <f t="shared" si="13"/>
        <v>2279.89</v>
      </c>
      <c r="F11" s="2"/>
      <c r="G11" s="5">
        <v>9.0</v>
      </c>
      <c r="H11" s="7"/>
      <c r="I11" s="7"/>
      <c r="J11" s="6">
        <f t="shared" si="2"/>
        <v>154.85</v>
      </c>
      <c r="K11" s="2">
        <f t="shared" si="14"/>
        <v>5948.58</v>
      </c>
      <c r="L11" s="2"/>
      <c r="M11" s="5">
        <v>9.0</v>
      </c>
      <c r="N11" s="7"/>
      <c r="O11" s="7"/>
      <c r="P11" s="6">
        <f t="shared" si="3"/>
        <v>154.85</v>
      </c>
      <c r="Q11" s="2">
        <f t="shared" si="15"/>
        <v>9857.27</v>
      </c>
      <c r="R11" s="2"/>
      <c r="S11" s="5">
        <v>9.0</v>
      </c>
      <c r="T11" s="7"/>
      <c r="U11" s="7"/>
      <c r="V11" s="6">
        <f t="shared" si="4"/>
        <v>154.85</v>
      </c>
      <c r="W11" s="2">
        <f t="shared" si="16"/>
        <v>13805.7</v>
      </c>
      <c r="X11" s="2"/>
      <c r="Y11" s="5">
        <v>9.0</v>
      </c>
      <c r="Z11" s="7"/>
      <c r="AA11" s="7"/>
      <c r="AB11" s="6">
        <f t="shared" si="5"/>
        <v>154.85</v>
      </c>
      <c r="AC11" s="2">
        <f t="shared" si="17"/>
        <v>17834.12</v>
      </c>
      <c r="AD11" s="2"/>
      <c r="AE11" s="5">
        <v>9.0</v>
      </c>
      <c r="AF11" s="7"/>
      <c r="AG11" s="7"/>
      <c r="AH11" s="6">
        <f t="shared" si="6"/>
        <v>154.85</v>
      </c>
      <c r="AI11" s="2">
        <f t="shared" si="18"/>
        <v>22195.7</v>
      </c>
      <c r="AJ11" s="2"/>
      <c r="AK11" s="5">
        <v>9.0</v>
      </c>
      <c r="AL11" s="7"/>
      <c r="AM11" s="7"/>
      <c r="AN11" s="6">
        <f t="shared" si="7"/>
        <v>154.85</v>
      </c>
      <c r="AO11" s="2">
        <f t="shared" si="19"/>
        <v>26647.27</v>
      </c>
      <c r="AP11" s="2"/>
      <c r="AQ11" s="5">
        <v>9.0</v>
      </c>
      <c r="AR11" s="7"/>
      <c r="AS11" s="7"/>
      <c r="AT11" s="6">
        <f t="shared" si="8"/>
        <v>154.85</v>
      </c>
      <c r="AU11" s="2">
        <f t="shared" si="20"/>
        <v>31098.84</v>
      </c>
      <c r="AV11" s="2"/>
      <c r="AW11" s="5">
        <v>9.0</v>
      </c>
      <c r="AX11" s="7"/>
      <c r="AY11" s="7"/>
      <c r="AZ11" s="6">
        <f t="shared" si="9"/>
        <v>154.85</v>
      </c>
      <c r="BA11" s="2">
        <f t="shared" si="21"/>
        <v>35614.09</v>
      </c>
      <c r="BB11" s="2"/>
      <c r="BC11" s="5">
        <v>9.0</v>
      </c>
      <c r="BD11" s="7"/>
      <c r="BE11" s="7"/>
      <c r="BF11" s="6">
        <f t="shared" si="10"/>
        <v>154.85</v>
      </c>
      <c r="BG11" s="2">
        <f t="shared" si="22"/>
        <v>40169.24</v>
      </c>
      <c r="BH11" s="2"/>
      <c r="BI11" s="5">
        <v>9.0</v>
      </c>
      <c r="BJ11" s="7"/>
      <c r="BK11" s="7"/>
      <c r="BL11" s="6">
        <f t="shared" si="11"/>
        <v>154.85</v>
      </c>
      <c r="BM11" s="2">
        <f t="shared" si="23"/>
        <v>44724.39</v>
      </c>
      <c r="BN11" s="2"/>
      <c r="BO11" s="5">
        <v>9.0</v>
      </c>
      <c r="BP11" s="7"/>
      <c r="BQ11" s="7"/>
      <c r="BR11" s="6">
        <f t="shared" si="12"/>
        <v>154.85</v>
      </c>
      <c r="BS11" s="2">
        <f t="shared" si="24"/>
        <v>49446.55</v>
      </c>
    </row>
    <row r="12">
      <c r="A12" s="5">
        <v>10.0</v>
      </c>
      <c r="B12" s="7"/>
      <c r="C12" s="7">
        <f>1881+100+160+60</f>
        <v>2201</v>
      </c>
      <c r="D12" s="6">
        <f t="shared" si="1"/>
        <v>154.85</v>
      </c>
      <c r="E12" s="2">
        <f t="shared" si="13"/>
        <v>-75.96</v>
      </c>
      <c r="F12" s="2"/>
      <c r="G12" s="5">
        <v>10.0</v>
      </c>
      <c r="H12" s="7"/>
      <c r="I12" s="7">
        <f>1881+100+160+60</f>
        <v>2201</v>
      </c>
      <c r="J12" s="6">
        <f t="shared" si="2"/>
        <v>154.85</v>
      </c>
      <c r="K12" s="2">
        <f t="shared" si="14"/>
        <v>3592.73</v>
      </c>
      <c r="L12" s="2"/>
      <c r="M12" s="5">
        <v>10.0</v>
      </c>
      <c r="N12" s="7"/>
      <c r="O12" s="7">
        <f>1881+100+160+60</f>
        <v>2201</v>
      </c>
      <c r="P12" s="6">
        <f t="shared" si="3"/>
        <v>154.85</v>
      </c>
      <c r="Q12" s="2">
        <f t="shared" si="15"/>
        <v>7501.42</v>
      </c>
      <c r="R12" s="2"/>
      <c r="S12" s="5">
        <v>10.0</v>
      </c>
      <c r="T12" s="7"/>
      <c r="U12" s="7">
        <f>1881+100+160+60</f>
        <v>2201</v>
      </c>
      <c r="V12" s="6">
        <f t="shared" si="4"/>
        <v>154.85</v>
      </c>
      <c r="W12" s="2">
        <f t="shared" si="16"/>
        <v>11449.85</v>
      </c>
      <c r="X12" s="2"/>
      <c r="Y12" s="5">
        <v>10.0</v>
      </c>
      <c r="Z12" s="7"/>
      <c r="AA12" s="7">
        <f>1881+100+160+60</f>
        <v>2201</v>
      </c>
      <c r="AB12" s="6">
        <f t="shared" si="5"/>
        <v>154.85</v>
      </c>
      <c r="AC12" s="2">
        <f t="shared" si="17"/>
        <v>15478.27</v>
      </c>
      <c r="AD12" s="2"/>
      <c r="AE12" s="5">
        <v>10.0</v>
      </c>
      <c r="AF12" s="7"/>
      <c r="AG12" s="7">
        <f>1881+100+160+60</f>
        <v>2201</v>
      </c>
      <c r="AH12" s="6">
        <f t="shared" si="6"/>
        <v>154.85</v>
      </c>
      <c r="AI12" s="2">
        <f t="shared" si="18"/>
        <v>19839.85</v>
      </c>
      <c r="AJ12" s="2"/>
      <c r="AK12" s="5">
        <v>10.0</v>
      </c>
      <c r="AL12" s="7"/>
      <c r="AM12" s="7">
        <f>1881+100+160+60</f>
        <v>2201</v>
      </c>
      <c r="AN12" s="6">
        <f t="shared" si="7"/>
        <v>154.85</v>
      </c>
      <c r="AO12" s="2">
        <f t="shared" si="19"/>
        <v>24291.42</v>
      </c>
      <c r="AP12" s="2"/>
      <c r="AQ12" s="5">
        <v>10.0</v>
      </c>
      <c r="AR12" s="7"/>
      <c r="AS12" s="7">
        <f>1881+100+160+60</f>
        <v>2201</v>
      </c>
      <c r="AT12" s="6">
        <f t="shared" si="8"/>
        <v>154.85</v>
      </c>
      <c r="AU12" s="2">
        <f t="shared" si="20"/>
        <v>28742.99</v>
      </c>
      <c r="AV12" s="2"/>
      <c r="AW12" s="5">
        <v>10.0</v>
      </c>
      <c r="AX12" s="7"/>
      <c r="AY12" s="7">
        <f>1881+100+160+60</f>
        <v>2201</v>
      </c>
      <c r="AZ12" s="6">
        <f t="shared" si="9"/>
        <v>154.85</v>
      </c>
      <c r="BA12" s="2">
        <f t="shared" si="21"/>
        <v>33258.24</v>
      </c>
      <c r="BB12" s="2"/>
      <c r="BC12" s="5">
        <v>10.0</v>
      </c>
      <c r="BD12" s="7"/>
      <c r="BE12" s="7">
        <f>1881+100+160+60</f>
        <v>2201</v>
      </c>
      <c r="BF12" s="6">
        <f t="shared" si="10"/>
        <v>154.85</v>
      </c>
      <c r="BG12" s="2">
        <f t="shared" si="22"/>
        <v>37813.39</v>
      </c>
      <c r="BH12" s="2"/>
      <c r="BI12" s="5">
        <v>10.0</v>
      </c>
      <c r="BJ12" s="7"/>
      <c r="BK12" s="7">
        <f>1881+100+160+60</f>
        <v>2201</v>
      </c>
      <c r="BL12" s="6">
        <f t="shared" si="11"/>
        <v>154.85</v>
      </c>
      <c r="BM12" s="2">
        <f t="shared" si="23"/>
        <v>42368.54</v>
      </c>
      <c r="BN12" s="2"/>
      <c r="BO12" s="5">
        <v>10.0</v>
      </c>
      <c r="BP12" s="7"/>
      <c r="BQ12" s="7">
        <f>1881+100+160+60</f>
        <v>2201</v>
      </c>
      <c r="BR12" s="6">
        <f t="shared" si="12"/>
        <v>154.85</v>
      </c>
      <c r="BS12" s="2">
        <f t="shared" si="24"/>
        <v>47090.7</v>
      </c>
    </row>
    <row r="13">
      <c r="A13" s="5">
        <v>11.0</v>
      </c>
      <c r="B13" s="7"/>
      <c r="C13" s="7"/>
      <c r="D13" s="6">
        <f t="shared" si="1"/>
        <v>154.85</v>
      </c>
      <c r="E13" s="2">
        <f t="shared" si="13"/>
        <v>-230.81</v>
      </c>
      <c r="F13" s="2"/>
      <c r="G13" s="5">
        <v>11.0</v>
      </c>
      <c r="H13" s="7"/>
      <c r="I13" s="7"/>
      <c r="J13" s="6">
        <f t="shared" si="2"/>
        <v>154.85</v>
      </c>
      <c r="K13" s="2">
        <f t="shared" si="14"/>
        <v>3437.88</v>
      </c>
      <c r="L13" s="2"/>
      <c r="M13" s="5">
        <v>11.0</v>
      </c>
      <c r="N13" s="7"/>
      <c r="O13" s="7"/>
      <c r="P13" s="6">
        <f t="shared" si="3"/>
        <v>154.85</v>
      </c>
      <c r="Q13" s="2">
        <f t="shared" si="15"/>
        <v>7346.57</v>
      </c>
      <c r="R13" s="2"/>
      <c r="S13" s="5">
        <v>11.0</v>
      </c>
      <c r="T13" s="7"/>
      <c r="U13" s="7"/>
      <c r="V13" s="6">
        <f t="shared" si="4"/>
        <v>154.85</v>
      </c>
      <c r="W13" s="2">
        <f t="shared" si="16"/>
        <v>11295</v>
      </c>
      <c r="X13" s="2"/>
      <c r="Y13" s="5">
        <v>11.0</v>
      </c>
      <c r="Z13" s="7"/>
      <c r="AA13" s="7"/>
      <c r="AB13" s="6">
        <f t="shared" si="5"/>
        <v>154.85</v>
      </c>
      <c r="AC13" s="2">
        <f t="shared" si="17"/>
        <v>15323.42</v>
      </c>
      <c r="AD13" s="2"/>
      <c r="AE13" s="5">
        <v>11.0</v>
      </c>
      <c r="AF13" s="7"/>
      <c r="AG13" s="7"/>
      <c r="AH13" s="6">
        <f t="shared" si="6"/>
        <v>154.85</v>
      </c>
      <c r="AI13" s="2">
        <f t="shared" si="18"/>
        <v>19685</v>
      </c>
      <c r="AJ13" s="2"/>
      <c r="AK13" s="5">
        <v>11.0</v>
      </c>
      <c r="AL13" s="7"/>
      <c r="AM13" s="7"/>
      <c r="AN13" s="6">
        <f t="shared" si="7"/>
        <v>154.85</v>
      </c>
      <c r="AO13" s="2">
        <f t="shared" si="19"/>
        <v>24136.57</v>
      </c>
      <c r="AP13" s="2"/>
      <c r="AQ13" s="5">
        <v>11.0</v>
      </c>
      <c r="AR13" s="7"/>
      <c r="AS13" s="7"/>
      <c r="AT13" s="6">
        <f t="shared" si="8"/>
        <v>154.85</v>
      </c>
      <c r="AU13" s="2">
        <f t="shared" si="20"/>
        <v>28588.14</v>
      </c>
      <c r="AV13" s="2"/>
      <c r="AW13" s="5">
        <v>11.0</v>
      </c>
      <c r="AX13" s="7"/>
      <c r="AY13" s="7"/>
      <c r="AZ13" s="6">
        <f t="shared" si="9"/>
        <v>154.85</v>
      </c>
      <c r="BA13" s="2">
        <f t="shared" si="21"/>
        <v>33103.39</v>
      </c>
      <c r="BB13" s="2"/>
      <c r="BC13" s="5">
        <v>11.0</v>
      </c>
      <c r="BD13" s="7"/>
      <c r="BE13" s="7"/>
      <c r="BF13" s="6">
        <f t="shared" si="10"/>
        <v>154.85</v>
      </c>
      <c r="BG13" s="2">
        <f t="shared" si="22"/>
        <v>37658.54</v>
      </c>
      <c r="BH13" s="2"/>
      <c r="BI13" s="5">
        <v>11.0</v>
      </c>
      <c r="BJ13" s="7"/>
      <c r="BK13" s="7"/>
      <c r="BL13" s="6">
        <f t="shared" si="11"/>
        <v>154.85</v>
      </c>
      <c r="BM13" s="2">
        <f t="shared" si="23"/>
        <v>42213.69</v>
      </c>
      <c r="BN13" s="2"/>
      <c r="BO13" s="5">
        <v>11.0</v>
      </c>
      <c r="BP13" s="7"/>
      <c r="BQ13" s="7"/>
      <c r="BR13" s="6">
        <f t="shared" si="12"/>
        <v>154.85</v>
      </c>
      <c r="BS13" s="2">
        <f t="shared" si="24"/>
        <v>46935.85</v>
      </c>
    </row>
    <row r="14">
      <c r="A14" s="5">
        <v>12.0</v>
      </c>
      <c r="B14" s="7"/>
      <c r="C14" s="7"/>
      <c r="D14" s="6">
        <f t="shared" si="1"/>
        <v>154.85</v>
      </c>
      <c r="E14" s="2">
        <f t="shared" si="13"/>
        <v>-385.66</v>
      </c>
      <c r="F14" s="2"/>
      <c r="G14" s="5">
        <v>12.0</v>
      </c>
      <c r="H14" s="7"/>
      <c r="I14" s="7"/>
      <c r="J14" s="6">
        <f t="shared" si="2"/>
        <v>154.85</v>
      </c>
      <c r="K14" s="2">
        <f t="shared" si="14"/>
        <v>3283.03</v>
      </c>
      <c r="L14" s="2"/>
      <c r="M14" s="5">
        <v>12.0</v>
      </c>
      <c r="N14" s="7"/>
      <c r="O14" s="7"/>
      <c r="P14" s="6">
        <f t="shared" si="3"/>
        <v>154.85</v>
      </c>
      <c r="Q14" s="2">
        <f t="shared" si="15"/>
        <v>7191.72</v>
      </c>
      <c r="R14" s="2"/>
      <c r="S14" s="5">
        <v>12.0</v>
      </c>
      <c r="T14" s="7"/>
      <c r="U14" s="7"/>
      <c r="V14" s="6">
        <f t="shared" si="4"/>
        <v>154.85</v>
      </c>
      <c r="W14" s="2">
        <f t="shared" si="16"/>
        <v>11140.15</v>
      </c>
      <c r="X14" s="2"/>
      <c r="Y14" s="5">
        <v>12.0</v>
      </c>
      <c r="Z14" s="7"/>
      <c r="AA14" s="7"/>
      <c r="AB14" s="6">
        <f t="shared" si="5"/>
        <v>154.85</v>
      </c>
      <c r="AC14" s="2">
        <f t="shared" si="17"/>
        <v>15168.57</v>
      </c>
      <c r="AD14" s="2"/>
      <c r="AE14" s="5">
        <v>12.0</v>
      </c>
      <c r="AF14" s="7"/>
      <c r="AG14" s="7"/>
      <c r="AH14" s="6">
        <f t="shared" si="6"/>
        <v>154.85</v>
      </c>
      <c r="AI14" s="2">
        <f t="shared" si="18"/>
        <v>19530.15</v>
      </c>
      <c r="AJ14" s="2"/>
      <c r="AK14" s="5">
        <v>12.0</v>
      </c>
      <c r="AL14" s="7"/>
      <c r="AM14" s="7"/>
      <c r="AN14" s="6">
        <f t="shared" si="7"/>
        <v>154.85</v>
      </c>
      <c r="AO14" s="2">
        <f t="shared" si="19"/>
        <v>23981.72</v>
      </c>
      <c r="AP14" s="2"/>
      <c r="AQ14" s="5">
        <v>12.0</v>
      </c>
      <c r="AR14" s="7"/>
      <c r="AS14" s="7"/>
      <c r="AT14" s="6">
        <f t="shared" si="8"/>
        <v>154.85</v>
      </c>
      <c r="AU14" s="2">
        <f t="shared" si="20"/>
        <v>28433.29</v>
      </c>
      <c r="AV14" s="2"/>
      <c r="AW14" s="5">
        <v>12.0</v>
      </c>
      <c r="AX14" s="7"/>
      <c r="AY14" s="7"/>
      <c r="AZ14" s="6">
        <f t="shared" si="9"/>
        <v>154.85</v>
      </c>
      <c r="BA14" s="2">
        <f t="shared" si="21"/>
        <v>32948.54</v>
      </c>
      <c r="BB14" s="2"/>
      <c r="BC14" s="5">
        <v>12.0</v>
      </c>
      <c r="BD14" s="7"/>
      <c r="BE14" s="7"/>
      <c r="BF14" s="6">
        <f t="shared" si="10"/>
        <v>154.85</v>
      </c>
      <c r="BG14" s="2">
        <f t="shared" si="22"/>
        <v>37503.69</v>
      </c>
      <c r="BH14" s="2"/>
      <c r="BI14" s="5">
        <v>12.0</v>
      </c>
      <c r="BJ14" s="7"/>
      <c r="BK14" s="7"/>
      <c r="BL14" s="6">
        <f t="shared" si="11"/>
        <v>154.85</v>
      </c>
      <c r="BM14" s="2">
        <f t="shared" si="23"/>
        <v>42058.84</v>
      </c>
      <c r="BN14" s="2"/>
      <c r="BO14" s="5">
        <v>12.0</v>
      </c>
      <c r="BP14" s="7"/>
      <c r="BQ14" s="7"/>
      <c r="BR14" s="6">
        <f t="shared" si="12"/>
        <v>154.85</v>
      </c>
      <c r="BS14" s="2">
        <f t="shared" si="24"/>
        <v>46781</v>
      </c>
    </row>
    <row r="15">
      <c r="A15" s="5">
        <v>13.0</v>
      </c>
      <c r="B15" s="7"/>
      <c r="C15" s="7"/>
      <c r="D15" s="6">
        <f t="shared" si="1"/>
        <v>154.85</v>
      </c>
      <c r="E15" s="2">
        <f t="shared" si="13"/>
        <v>-540.51</v>
      </c>
      <c r="F15" s="2"/>
      <c r="G15" s="5">
        <v>13.0</v>
      </c>
      <c r="H15" s="7"/>
      <c r="I15" s="7"/>
      <c r="J15" s="6">
        <f t="shared" si="2"/>
        <v>154.85</v>
      </c>
      <c r="K15" s="2">
        <f t="shared" si="14"/>
        <v>3128.18</v>
      </c>
      <c r="L15" s="2"/>
      <c r="M15" s="5">
        <v>13.0</v>
      </c>
      <c r="N15" s="7"/>
      <c r="O15" s="7"/>
      <c r="P15" s="6">
        <f t="shared" si="3"/>
        <v>154.85</v>
      </c>
      <c r="Q15" s="2">
        <f t="shared" si="15"/>
        <v>7036.87</v>
      </c>
      <c r="R15" s="2"/>
      <c r="S15" s="5">
        <v>13.0</v>
      </c>
      <c r="T15" s="7"/>
      <c r="U15" s="7"/>
      <c r="V15" s="6">
        <f t="shared" si="4"/>
        <v>154.85</v>
      </c>
      <c r="W15" s="2">
        <f t="shared" si="16"/>
        <v>10985.3</v>
      </c>
      <c r="X15" s="2"/>
      <c r="Y15" s="5">
        <v>13.0</v>
      </c>
      <c r="Z15" s="7"/>
      <c r="AA15" s="7"/>
      <c r="AB15" s="6">
        <f t="shared" si="5"/>
        <v>154.85</v>
      </c>
      <c r="AC15" s="2">
        <f t="shared" si="17"/>
        <v>15013.72</v>
      </c>
      <c r="AD15" s="2"/>
      <c r="AE15" s="5">
        <v>13.0</v>
      </c>
      <c r="AF15" s="7"/>
      <c r="AG15" s="7"/>
      <c r="AH15" s="6">
        <f t="shared" si="6"/>
        <v>154.85</v>
      </c>
      <c r="AI15" s="2">
        <f t="shared" si="18"/>
        <v>19375.3</v>
      </c>
      <c r="AJ15" s="2"/>
      <c r="AK15" s="5">
        <v>13.0</v>
      </c>
      <c r="AL15" s="7"/>
      <c r="AM15" s="7"/>
      <c r="AN15" s="6">
        <f t="shared" si="7"/>
        <v>154.85</v>
      </c>
      <c r="AO15" s="2">
        <f t="shared" si="19"/>
        <v>23826.87</v>
      </c>
      <c r="AP15" s="2"/>
      <c r="AQ15" s="5">
        <v>13.0</v>
      </c>
      <c r="AR15" s="7"/>
      <c r="AS15" s="7"/>
      <c r="AT15" s="6">
        <f t="shared" si="8"/>
        <v>154.85</v>
      </c>
      <c r="AU15" s="2">
        <f t="shared" si="20"/>
        <v>28278.44</v>
      </c>
      <c r="AV15" s="2"/>
      <c r="AW15" s="5">
        <v>13.0</v>
      </c>
      <c r="AX15" s="7"/>
      <c r="AY15" s="7"/>
      <c r="AZ15" s="6">
        <f t="shared" si="9"/>
        <v>154.85</v>
      </c>
      <c r="BA15" s="2">
        <f t="shared" si="21"/>
        <v>32793.69</v>
      </c>
      <c r="BB15" s="2"/>
      <c r="BC15" s="5">
        <v>13.0</v>
      </c>
      <c r="BD15" s="7"/>
      <c r="BE15" s="7"/>
      <c r="BF15" s="6">
        <f t="shared" si="10"/>
        <v>154.85</v>
      </c>
      <c r="BG15" s="2">
        <f t="shared" si="22"/>
        <v>37348.84</v>
      </c>
      <c r="BH15" s="2"/>
      <c r="BI15" s="5">
        <v>13.0</v>
      </c>
      <c r="BJ15" s="7"/>
      <c r="BK15" s="7"/>
      <c r="BL15" s="6">
        <f t="shared" si="11"/>
        <v>154.85</v>
      </c>
      <c r="BM15" s="2">
        <f t="shared" si="23"/>
        <v>41903.99</v>
      </c>
      <c r="BN15" s="2"/>
      <c r="BO15" s="5">
        <v>13.0</v>
      </c>
      <c r="BP15" s="7"/>
      <c r="BQ15" s="7"/>
      <c r="BR15" s="6">
        <f t="shared" si="12"/>
        <v>154.85</v>
      </c>
      <c r="BS15" s="2">
        <f t="shared" si="24"/>
        <v>46626.15</v>
      </c>
    </row>
    <row r="16">
      <c r="A16" s="5">
        <v>14.0</v>
      </c>
      <c r="B16" s="7"/>
      <c r="C16" s="7"/>
      <c r="D16" s="6">
        <f t="shared" si="1"/>
        <v>154.85</v>
      </c>
      <c r="E16" s="2">
        <f t="shared" si="13"/>
        <v>-695.36</v>
      </c>
      <c r="F16" s="2"/>
      <c r="G16" s="5">
        <v>14.0</v>
      </c>
      <c r="H16" s="7"/>
      <c r="I16" s="7"/>
      <c r="J16" s="6">
        <f t="shared" si="2"/>
        <v>154.85</v>
      </c>
      <c r="K16" s="2">
        <f t="shared" si="14"/>
        <v>2973.33</v>
      </c>
      <c r="L16" s="2"/>
      <c r="M16" s="5">
        <v>14.0</v>
      </c>
      <c r="N16" s="7"/>
      <c r="O16" s="7"/>
      <c r="P16" s="6">
        <f t="shared" si="3"/>
        <v>154.85</v>
      </c>
      <c r="Q16" s="2">
        <f t="shared" si="15"/>
        <v>6882.02</v>
      </c>
      <c r="R16" s="2"/>
      <c r="S16" s="5">
        <v>14.0</v>
      </c>
      <c r="T16" s="7"/>
      <c r="U16" s="7"/>
      <c r="V16" s="6">
        <f t="shared" si="4"/>
        <v>154.85</v>
      </c>
      <c r="W16" s="2">
        <f t="shared" si="16"/>
        <v>10830.45</v>
      </c>
      <c r="X16" s="2"/>
      <c r="Y16" s="5">
        <v>14.0</v>
      </c>
      <c r="Z16" s="7"/>
      <c r="AA16" s="7"/>
      <c r="AB16" s="6">
        <f t="shared" si="5"/>
        <v>154.85</v>
      </c>
      <c r="AC16" s="2">
        <f t="shared" si="17"/>
        <v>14858.87</v>
      </c>
      <c r="AD16" s="2"/>
      <c r="AE16" s="5">
        <v>14.0</v>
      </c>
      <c r="AF16" s="7"/>
      <c r="AG16" s="7"/>
      <c r="AH16" s="6">
        <f t="shared" si="6"/>
        <v>154.85</v>
      </c>
      <c r="AI16" s="2">
        <f t="shared" si="18"/>
        <v>19220.45</v>
      </c>
      <c r="AJ16" s="2"/>
      <c r="AK16" s="5">
        <v>14.0</v>
      </c>
      <c r="AL16" s="7"/>
      <c r="AM16" s="7"/>
      <c r="AN16" s="6">
        <f t="shared" si="7"/>
        <v>154.85</v>
      </c>
      <c r="AO16" s="2">
        <f t="shared" si="19"/>
        <v>23672.02</v>
      </c>
      <c r="AP16" s="2"/>
      <c r="AQ16" s="5">
        <v>14.0</v>
      </c>
      <c r="AR16" s="7"/>
      <c r="AS16" s="7"/>
      <c r="AT16" s="6">
        <f t="shared" si="8"/>
        <v>154.85</v>
      </c>
      <c r="AU16" s="2">
        <f t="shared" si="20"/>
        <v>28123.59</v>
      </c>
      <c r="AV16" s="2"/>
      <c r="AW16" s="5">
        <v>14.0</v>
      </c>
      <c r="AX16" s="7"/>
      <c r="AY16" s="7"/>
      <c r="AZ16" s="6">
        <f t="shared" si="9"/>
        <v>154.85</v>
      </c>
      <c r="BA16" s="2">
        <f t="shared" si="21"/>
        <v>32638.84</v>
      </c>
      <c r="BB16" s="2"/>
      <c r="BC16" s="5">
        <v>14.0</v>
      </c>
      <c r="BD16" s="7"/>
      <c r="BE16" s="7"/>
      <c r="BF16" s="6">
        <f t="shared" si="10"/>
        <v>154.85</v>
      </c>
      <c r="BG16" s="2">
        <f t="shared" si="22"/>
        <v>37193.99</v>
      </c>
      <c r="BH16" s="2"/>
      <c r="BI16" s="5">
        <v>14.0</v>
      </c>
      <c r="BJ16" s="7"/>
      <c r="BK16" s="7"/>
      <c r="BL16" s="6">
        <f t="shared" si="11"/>
        <v>154.85</v>
      </c>
      <c r="BM16" s="2">
        <f t="shared" si="23"/>
        <v>41749.14</v>
      </c>
      <c r="BN16" s="2"/>
      <c r="BO16" s="5">
        <v>14.0</v>
      </c>
      <c r="BP16" s="7"/>
      <c r="BQ16" s="7"/>
      <c r="BR16" s="6">
        <f t="shared" si="12"/>
        <v>154.85</v>
      </c>
      <c r="BS16" s="2">
        <f t="shared" si="24"/>
        <v>46471.3</v>
      </c>
    </row>
    <row r="17">
      <c r="A17" s="5">
        <v>15.0</v>
      </c>
      <c r="B17" s="7"/>
      <c r="C17" s="6">
        <f>500</f>
        <v>500</v>
      </c>
      <c r="D17" s="6">
        <f t="shared" si="1"/>
        <v>154.85</v>
      </c>
      <c r="E17" s="2">
        <f t="shared" si="13"/>
        <v>-1350.21</v>
      </c>
      <c r="F17" s="2"/>
      <c r="G17" s="5">
        <v>15.0</v>
      </c>
      <c r="H17" s="7"/>
      <c r="I17" s="6">
        <f>500</f>
        <v>500</v>
      </c>
      <c r="J17" s="6">
        <f t="shared" si="2"/>
        <v>154.85</v>
      </c>
      <c r="K17" s="2">
        <f t="shared" si="14"/>
        <v>2318.48</v>
      </c>
      <c r="L17" s="2"/>
      <c r="M17" s="5">
        <v>15.0</v>
      </c>
      <c r="N17" s="7"/>
      <c r="O17" s="6">
        <f>500</f>
        <v>500</v>
      </c>
      <c r="P17" s="6">
        <f t="shared" si="3"/>
        <v>154.85</v>
      </c>
      <c r="Q17" s="2">
        <f t="shared" si="15"/>
        <v>6227.17</v>
      </c>
      <c r="R17" s="2"/>
      <c r="S17" s="5">
        <v>15.0</v>
      </c>
      <c r="T17" s="7"/>
      <c r="U17" s="6">
        <f>500</f>
        <v>500</v>
      </c>
      <c r="V17" s="6">
        <f t="shared" si="4"/>
        <v>154.85</v>
      </c>
      <c r="W17" s="2">
        <f t="shared" si="16"/>
        <v>10175.6</v>
      </c>
      <c r="X17" s="2"/>
      <c r="Y17" s="5">
        <v>15.0</v>
      </c>
      <c r="Z17" s="7"/>
      <c r="AA17" s="6">
        <f>500</f>
        <v>500</v>
      </c>
      <c r="AB17" s="6">
        <f t="shared" si="5"/>
        <v>154.85</v>
      </c>
      <c r="AC17" s="2">
        <f t="shared" si="17"/>
        <v>14204.02</v>
      </c>
      <c r="AD17" s="2"/>
      <c r="AE17" s="5">
        <v>15.0</v>
      </c>
      <c r="AF17" s="7"/>
      <c r="AG17" s="6">
        <f>500</f>
        <v>500</v>
      </c>
      <c r="AH17" s="6">
        <f t="shared" si="6"/>
        <v>154.85</v>
      </c>
      <c r="AI17" s="2">
        <f t="shared" si="18"/>
        <v>18565.6</v>
      </c>
      <c r="AJ17" s="2"/>
      <c r="AK17" s="5">
        <v>15.0</v>
      </c>
      <c r="AL17" s="7"/>
      <c r="AM17" s="6">
        <f>500</f>
        <v>500</v>
      </c>
      <c r="AN17" s="6">
        <f t="shared" si="7"/>
        <v>154.85</v>
      </c>
      <c r="AO17" s="2">
        <f t="shared" si="19"/>
        <v>23017.17</v>
      </c>
      <c r="AP17" s="2"/>
      <c r="AQ17" s="5">
        <v>15.0</v>
      </c>
      <c r="AR17" s="7"/>
      <c r="AS17" s="6">
        <f>500</f>
        <v>500</v>
      </c>
      <c r="AT17" s="6">
        <f t="shared" si="8"/>
        <v>154.85</v>
      </c>
      <c r="AU17" s="2">
        <f t="shared" si="20"/>
        <v>27468.74</v>
      </c>
      <c r="AV17" s="2"/>
      <c r="AW17" s="5">
        <v>15.0</v>
      </c>
      <c r="AX17" s="7"/>
      <c r="AY17" s="6">
        <f>500</f>
        <v>500</v>
      </c>
      <c r="AZ17" s="6">
        <f t="shared" si="9"/>
        <v>154.85</v>
      </c>
      <c r="BA17" s="2">
        <f t="shared" si="21"/>
        <v>31983.99</v>
      </c>
      <c r="BB17" s="2"/>
      <c r="BC17" s="5">
        <v>15.0</v>
      </c>
      <c r="BD17" s="7"/>
      <c r="BE17" s="6">
        <f>500</f>
        <v>500</v>
      </c>
      <c r="BF17" s="6">
        <f t="shared" si="10"/>
        <v>154.85</v>
      </c>
      <c r="BG17" s="2">
        <f t="shared" si="22"/>
        <v>36539.14</v>
      </c>
      <c r="BH17" s="2"/>
      <c r="BI17" s="5">
        <v>15.0</v>
      </c>
      <c r="BJ17" s="7"/>
      <c r="BK17" s="6">
        <f>500</f>
        <v>500</v>
      </c>
      <c r="BL17" s="6">
        <f t="shared" si="11"/>
        <v>154.85</v>
      </c>
      <c r="BM17" s="2">
        <f t="shared" si="23"/>
        <v>41094.29</v>
      </c>
      <c r="BN17" s="2"/>
      <c r="BO17" s="5">
        <v>15.0</v>
      </c>
      <c r="BP17" s="7"/>
      <c r="BQ17" s="6">
        <f>500</f>
        <v>500</v>
      </c>
      <c r="BR17" s="6">
        <f t="shared" si="12"/>
        <v>154.85</v>
      </c>
      <c r="BS17" s="2">
        <f t="shared" si="24"/>
        <v>45816.45</v>
      </c>
    </row>
    <row r="18">
      <c r="A18" s="5">
        <v>16.0</v>
      </c>
      <c r="B18" s="7"/>
      <c r="C18" s="7"/>
      <c r="D18" s="6">
        <f t="shared" si="1"/>
        <v>154.85</v>
      </c>
      <c r="E18" s="2">
        <f t="shared" si="13"/>
        <v>-1505.06</v>
      </c>
      <c r="F18" s="2"/>
      <c r="G18" s="5">
        <v>16.0</v>
      </c>
      <c r="H18" s="7"/>
      <c r="I18" s="7"/>
      <c r="J18" s="6">
        <f t="shared" si="2"/>
        <v>154.85</v>
      </c>
      <c r="K18" s="2">
        <f t="shared" si="14"/>
        <v>2163.63</v>
      </c>
      <c r="L18" s="2"/>
      <c r="M18" s="5">
        <v>16.0</v>
      </c>
      <c r="N18" s="7"/>
      <c r="O18" s="7"/>
      <c r="P18" s="6">
        <f t="shared" si="3"/>
        <v>154.85</v>
      </c>
      <c r="Q18" s="2">
        <f t="shared" si="15"/>
        <v>6072.32</v>
      </c>
      <c r="R18" s="2"/>
      <c r="S18" s="5">
        <v>16.0</v>
      </c>
      <c r="T18" s="7"/>
      <c r="U18" s="7"/>
      <c r="V18" s="6">
        <f t="shared" si="4"/>
        <v>154.85</v>
      </c>
      <c r="W18" s="2">
        <f t="shared" si="16"/>
        <v>10020.75</v>
      </c>
      <c r="X18" s="2"/>
      <c r="Y18" s="5">
        <v>16.0</v>
      </c>
      <c r="Z18" s="7"/>
      <c r="AA18" s="7"/>
      <c r="AB18" s="6">
        <f t="shared" si="5"/>
        <v>154.85</v>
      </c>
      <c r="AC18" s="2">
        <f t="shared" si="17"/>
        <v>14049.17</v>
      </c>
      <c r="AD18" s="2"/>
      <c r="AE18" s="5">
        <v>16.0</v>
      </c>
      <c r="AF18" s="7"/>
      <c r="AG18" s="7"/>
      <c r="AH18" s="6">
        <f t="shared" si="6"/>
        <v>154.85</v>
      </c>
      <c r="AI18" s="2">
        <f t="shared" si="18"/>
        <v>18410.75</v>
      </c>
      <c r="AJ18" s="2"/>
      <c r="AK18" s="5">
        <v>16.0</v>
      </c>
      <c r="AL18" s="7"/>
      <c r="AM18" s="7"/>
      <c r="AN18" s="6">
        <f t="shared" si="7"/>
        <v>154.85</v>
      </c>
      <c r="AO18" s="2">
        <f t="shared" si="19"/>
        <v>22862.32</v>
      </c>
      <c r="AP18" s="2"/>
      <c r="AQ18" s="5">
        <v>16.0</v>
      </c>
      <c r="AR18" s="7"/>
      <c r="AS18" s="7"/>
      <c r="AT18" s="6">
        <f t="shared" si="8"/>
        <v>154.85</v>
      </c>
      <c r="AU18" s="2">
        <f t="shared" si="20"/>
        <v>27313.89</v>
      </c>
      <c r="AV18" s="2"/>
      <c r="AW18" s="5">
        <v>16.0</v>
      </c>
      <c r="AX18" s="7"/>
      <c r="AY18" s="7"/>
      <c r="AZ18" s="6">
        <f t="shared" si="9"/>
        <v>154.85</v>
      </c>
      <c r="BA18" s="2">
        <f t="shared" si="21"/>
        <v>31829.14</v>
      </c>
      <c r="BB18" s="2"/>
      <c r="BC18" s="5">
        <v>16.0</v>
      </c>
      <c r="BD18" s="7"/>
      <c r="BE18" s="7"/>
      <c r="BF18" s="6">
        <f t="shared" si="10"/>
        <v>154.85</v>
      </c>
      <c r="BG18" s="2">
        <f t="shared" si="22"/>
        <v>36384.29</v>
      </c>
      <c r="BH18" s="2"/>
      <c r="BI18" s="5">
        <v>16.0</v>
      </c>
      <c r="BJ18" s="7"/>
      <c r="BK18" s="7"/>
      <c r="BL18" s="6">
        <f t="shared" si="11"/>
        <v>154.85</v>
      </c>
      <c r="BM18" s="2">
        <f t="shared" si="23"/>
        <v>40939.44</v>
      </c>
      <c r="BN18" s="2"/>
      <c r="BO18" s="5">
        <v>16.0</v>
      </c>
      <c r="BP18" s="7"/>
      <c r="BQ18" s="7"/>
      <c r="BR18" s="6">
        <f t="shared" si="12"/>
        <v>154.85</v>
      </c>
      <c r="BS18" s="2">
        <f t="shared" si="24"/>
        <v>45661.6</v>
      </c>
    </row>
    <row r="19">
      <c r="A19" s="5">
        <v>17.0</v>
      </c>
      <c r="B19" s="7"/>
      <c r="C19" s="7"/>
      <c r="D19" s="6">
        <f t="shared" si="1"/>
        <v>154.85</v>
      </c>
      <c r="E19" s="2">
        <f t="shared" si="13"/>
        <v>-1659.91</v>
      </c>
      <c r="F19" s="2"/>
      <c r="G19" s="5">
        <v>17.0</v>
      </c>
      <c r="H19" s="7"/>
      <c r="I19" s="7"/>
      <c r="J19" s="6">
        <f t="shared" si="2"/>
        <v>154.85</v>
      </c>
      <c r="K19" s="2">
        <f t="shared" si="14"/>
        <v>2008.78</v>
      </c>
      <c r="L19" s="2"/>
      <c r="M19" s="5">
        <v>17.0</v>
      </c>
      <c r="N19" s="7"/>
      <c r="O19" s="7"/>
      <c r="P19" s="6">
        <f t="shared" si="3"/>
        <v>154.85</v>
      </c>
      <c r="Q19" s="2">
        <f t="shared" si="15"/>
        <v>5917.47</v>
      </c>
      <c r="R19" s="2"/>
      <c r="S19" s="5">
        <v>17.0</v>
      </c>
      <c r="T19" s="7"/>
      <c r="U19" s="7"/>
      <c r="V19" s="6">
        <f t="shared" si="4"/>
        <v>154.85</v>
      </c>
      <c r="W19" s="2">
        <f t="shared" si="16"/>
        <v>9865.9</v>
      </c>
      <c r="X19" s="2"/>
      <c r="Y19" s="5">
        <v>17.0</v>
      </c>
      <c r="Z19" s="7"/>
      <c r="AA19" s="7"/>
      <c r="AB19" s="6">
        <f t="shared" si="5"/>
        <v>154.85</v>
      </c>
      <c r="AC19" s="2">
        <f t="shared" si="17"/>
        <v>13894.32</v>
      </c>
      <c r="AD19" s="2"/>
      <c r="AE19" s="5">
        <v>17.0</v>
      </c>
      <c r="AF19" s="7"/>
      <c r="AG19" s="7"/>
      <c r="AH19" s="6">
        <f t="shared" si="6"/>
        <v>154.85</v>
      </c>
      <c r="AI19" s="2">
        <f t="shared" si="18"/>
        <v>18255.9</v>
      </c>
      <c r="AJ19" s="2"/>
      <c r="AK19" s="5">
        <v>17.0</v>
      </c>
      <c r="AL19" s="7"/>
      <c r="AM19" s="7"/>
      <c r="AN19" s="6">
        <f t="shared" si="7"/>
        <v>154.85</v>
      </c>
      <c r="AO19" s="2">
        <f t="shared" si="19"/>
        <v>22707.47</v>
      </c>
      <c r="AP19" s="2"/>
      <c r="AQ19" s="5">
        <v>17.0</v>
      </c>
      <c r="AR19" s="7"/>
      <c r="AS19" s="7"/>
      <c r="AT19" s="6">
        <f t="shared" si="8"/>
        <v>154.85</v>
      </c>
      <c r="AU19" s="2">
        <f t="shared" si="20"/>
        <v>27159.04</v>
      </c>
      <c r="AV19" s="2"/>
      <c r="AW19" s="5">
        <v>17.0</v>
      </c>
      <c r="AX19" s="7"/>
      <c r="AY19" s="7"/>
      <c r="AZ19" s="6">
        <f t="shared" si="9"/>
        <v>154.85</v>
      </c>
      <c r="BA19" s="2">
        <f t="shared" si="21"/>
        <v>31674.29</v>
      </c>
      <c r="BB19" s="2"/>
      <c r="BC19" s="5">
        <v>17.0</v>
      </c>
      <c r="BD19" s="7"/>
      <c r="BE19" s="7"/>
      <c r="BF19" s="6">
        <f t="shared" si="10"/>
        <v>154.85</v>
      </c>
      <c r="BG19" s="2">
        <f t="shared" si="22"/>
        <v>36229.44</v>
      </c>
      <c r="BH19" s="2"/>
      <c r="BI19" s="5">
        <v>17.0</v>
      </c>
      <c r="BJ19" s="7"/>
      <c r="BK19" s="7"/>
      <c r="BL19" s="6">
        <f t="shared" si="11"/>
        <v>154.85</v>
      </c>
      <c r="BM19" s="2">
        <f t="shared" si="23"/>
        <v>40784.59</v>
      </c>
      <c r="BN19" s="2"/>
      <c r="BO19" s="5">
        <v>17.0</v>
      </c>
      <c r="BP19" s="7"/>
      <c r="BQ19" s="7"/>
      <c r="BR19" s="6">
        <f t="shared" si="12"/>
        <v>154.85</v>
      </c>
      <c r="BS19" s="2">
        <f t="shared" si="24"/>
        <v>45506.75</v>
      </c>
    </row>
    <row r="20">
      <c r="A20" s="5">
        <v>18.0</v>
      </c>
      <c r="B20" s="7"/>
      <c r="C20" s="7"/>
      <c r="D20" s="6">
        <f t="shared" si="1"/>
        <v>154.85</v>
      </c>
      <c r="E20" s="2">
        <f t="shared" si="13"/>
        <v>-1814.76</v>
      </c>
      <c r="F20" s="2"/>
      <c r="G20" s="5">
        <v>18.0</v>
      </c>
      <c r="H20" s="7"/>
      <c r="I20" s="7"/>
      <c r="J20" s="6">
        <f t="shared" si="2"/>
        <v>154.85</v>
      </c>
      <c r="K20" s="2">
        <f t="shared" si="14"/>
        <v>1853.93</v>
      </c>
      <c r="L20" s="2"/>
      <c r="M20" s="5">
        <v>18.0</v>
      </c>
      <c r="N20" s="7"/>
      <c r="O20" s="7"/>
      <c r="P20" s="6">
        <f t="shared" si="3"/>
        <v>154.85</v>
      </c>
      <c r="Q20" s="2">
        <f t="shared" si="15"/>
        <v>5762.62</v>
      </c>
      <c r="R20" s="2"/>
      <c r="S20" s="5">
        <v>18.0</v>
      </c>
      <c r="T20" s="7"/>
      <c r="U20" s="7"/>
      <c r="V20" s="6">
        <f t="shared" si="4"/>
        <v>154.85</v>
      </c>
      <c r="W20" s="2">
        <f t="shared" si="16"/>
        <v>9711.05</v>
      </c>
      <c r="X20" s="2"/>
      <c r="Y20" s="5">
        <v>18.0</v>
      </c>
      <c r="Z20" s="7"/>
      <c r="AA20" s="7"/>
      <c r="AB20" s="6">
        <f t="shared" si="5"/>
        <v>154.85</v>
      </c>
      <c r="AC20" s="2">
        <f t="shared" si="17"/>
        <v>13739.47</v>
      </c>
      <c r="AD20" s="2"/>
      <c r="AE20" s="5">
        <v>18.0</v>
      </c>
      <c r="AF20" s="7"/>
      <c r="AG20" s="7"/>
      <c r="AH20" s="6">
        <f t="shared" si="6"/>
        <v>154.85</v>
      </c>
      <c r="AI20" s="2">
        <f t="shared" si="18"/>
        <v>18101.05</v>
      </c>
      <c r="AJ20" s="2"/>
      <c r="AK20" s="5">
        <v>18.0</v>
      </c>
      <c r="AL20" s="7"/>
      <c r="AM20" s="7"/>
      <c r="AN20" s="6">
        <f t="shared" si="7"/>
        <v>154.85</v>
      </c>
      <c r="AO20" s="2">
        <f t="shared" si="19"/>
        <v>22552.62</v>
      </c>
      <c r="AP20" s="2"/>
      <c r="AQ20" s="5">
        <v>18.0</v>
      </c>
      <c r="AR20" s="7"/>
      <c r="AS20" s="7"/>
      <c r="AT20" s="6">
        <f t="shared" si="8"/>
        <v>154.85</v>
      </c>
      <c r="AU20" s="2">
        <f t="shared" si="20"/>
        <v>27004.19</v>
      </c>
      <c r="AV20" s="2"/>
      <c r="AW20" s="5">
        <v>18.0</v>
      </c>
      <c r="AX20" s="7"/>
      <c r="AY20" s="7"/>
      <c r="AZ20" s="6">
        <f t="shared" si="9"/>
        <v>154.85</v>
      </c>
      <c r="BA20" s="2">
        <f t="shared" si="21"/>
        <v>31519.44</v>
      </c>
      <c r="BB20" s="2"/>
      <c r="BC20" s="5">
        <v>18.0</v>
      </c>
      <c r="BD20" s="7"/>
      <c r="BE20" s="7"/>
      <c r="BF20" s="6">
        <f t="shared" si="10"/>
        <v>154.85</v>
      </c>
      <c r="BG20" s="2">
        <f t="shared" si="22"/>
        <v>36074.59</v>
      </c>
      <c r="BH20" s="2"/>
      <c r="BI20" s="5">
        <v>18.0</v>
      </c>
      <c r="BJ20" s="7"/>
      <c r="BK20" s="7"/>
      <c r="BL20" s="6">
        <f t="shared" si="11"/>
        <v>154.85</v>
      </c>
      <c r="BM20" s="2">
        <f t="shared" si="23"/>
        <v>40629.74</v>
      </c>
      <c r="BN20" s="2"/>
      <c r="BO20" s="5">
        <v>18.0</v>
      </c>
      <c r="BP20" s="7"/>
      <c r="BQ20" s="7"/>
      <c r="BR20" s="6">
        <f t="shared" si="12"/>
        <v>154.85</v>
      </c>
      <c r="BS20" s="2">
        <f t="shared" si="24"/>
        <v>45351.9</v>
      </c>
    </row>
    <row r="21">
      <c r="A21" s="5">
        <v>19.0</v>
      </c>
      <c r="B21" s="7"/>
      <c r="C21" s="7"/>
      <c r="D21" s="6">
        <f t="shared" si="1"/>
        <v>154.85</v>
      </c>
      <c r="E21" s="2">
        <f t="shared" si="13"/>
        <v>-1969.61</v>
      </c>
      <c r="F21" s="2"/>
      <c r="G21" s="5">
        <v>19.0</v>
      </c>
      <c r="H21" s="7"/>
      <c r="I21" s="7"/>
      <c r="J21" s="6">
        <f t="shared" si="2"/>
        <v>154.85</v>
      </c>
      <c r="K21" s="2">
        <f t="shared" si="14"/>
        <v>1699.08</v>
      </c>
      <c r="L21" s="2"/>
      <c r="M21" s="5">
        <v>19.0</v>
      </c>
      <c r="N21" s="7"/>
      <c r="O21" s="7"/>
      <c r="P21" s="6">
        <f t="shared" si="3"/>
        <v>154.85</v>
      </c>
      <c r="Q21" s="2">
        <f t="shared" si="15"/>
        <v>5607.77</v>
      </c>
      <c r="R21" s="2"/>
      <c r="S21" s="5">
        <v>19.0</v>
      </c>
      <c r="T21" s="7"/>
      <c r="U21" s="7"/>
      <c r="V21" s="6">
        <f t="shared" si="4"/>
        <v>154.85</v>
      </c>
      <c r="W21" s="2">
        <f t="shared" si="16"/>
        <v>9556.2</v>
      </c>
      <c r="X21" s="2"/>
      <c r="Y21" s="5">
        <v>19.0</v>
      </c>
      <c r="Z21" s="7"/>
      <c r="AA21" s="7"/>
      <c r="AB21" s="6">
        <f t="shared" si="5"/>
        <v>154.85</v>
      </c>
      <c r="AC21" s="2">
        <f t="shared" si="17"/>
        <v>13584.62</v>
      </c>
      <c r="AD21" s="2"/>
      <c r="AE21" s="5">
        <v>19.0</v>
      </c>
      <c r="AF21" s="7"/>
      <c r="AG21" s="7"/>
      <c r="AH21" s="6">
        <f t="shared" si="6"/>
        <v>154.85</v>
      </c>
      <c r="AI21" s="2">
        <f t="shared" si="18"/>
        <v>17946.2</v>
      </c>
      <c r="AJ21" s="2"/>
      <c r="AK21" s="5">
        <v>19.0</v>
      </c>
      <c r="AL21" s="7"/>
      <c r="AM21" s="7"/>
      <c r="AN21" s="6">
        <f t="shared" si="7"/>
        <v>154.85</v>
      </c>
      <c r="AO21" s="2">
        <f t="shared" si="19"/>
        <v>22397.77</v>
      </c>
      <c r="AP21" s="2"/>
      <c r="AQ21" s="5">
        <v>19.0</v>
      </c>
      <c r="AR21" s="7"/>
      <c r="AS21" s="7"/>
      <c r="AT21" s="6">
        <f t="shared" si="8"/>
        <v>154.85</v>
      </c>
      <c r="AU21" s="2">
        <f t="shared" si="20"/>
        <v>26849.34</v>
      </c>
      <c r="AV21" s="2"/>
      <c r="AW21" s="5">
        <v>19.0</v>
      </c>
      <c r="AX21" s="7"/>
      <c r="AY21" s="7"/>
      <c r="AZ21" s="6">
        <f t="shared" si="9"/>
        <v>154.85</v>
      </c>
      <c r="BA21" s="2">
        <f t="shared" si="21"/>
        <v>31364.59</v>
      </c>
      <c r="BB21" s="2"/>
      <c r="BC21" s="5">
        <v>19.0</v>
      </c>
      <c r="BD21" s="7"/>
      <c r="BE21" s="7"/>
      <c r="BF21" s="6">
        <f t="shared" si="10"/>
        <v>154.85</v>
      </c>
      <c r="BG21" s="2">
        <f t="shared" si="22"/>
        <v>35919.74</v>
      </c>
      <c r="BH21" s="2"/>
      <c r="BI21" s="5">
        <v>19.0</v>
      </c>
      <c r="BJ21" s="7"/>
      <c r="BK21" s="7"/>
      <c r="BL21" s="6">
        <f t="shared" si="11"/>
        <v>154.85</v>
      </c>
      <c r="BM21" s="2">
        <f t="shared" si="23"/>
        <v>40474.89</v>
      </c>
      <c r="BN21" s="2"/>
      <c r="BO21" s="5">
        <v>19.0</v>
      </c>
      <c r="BP21" s="7"/>
      <c r="BQ21" s="7"/>
      <c r="BR21" s="6">
        <f t="shared" si="12"/>
        <v>154.85</v>
      </c>
      <c r="BS21" s="2">
        <f t="shared" si="24"/>
        <v>45197.05</v>
      </c>
    </row>
    <row r="22">
      <c r="A22" s="5">
        <v>20.0</v>
      </c>
      <c r="B22" s="7"/>
      <c r="C22" s="6"/>
      <c r="D22" s="6">
        <f t="shared" si="1"/>
        <v>154.85</v>
      </c>
      <c r="E22" s="2">
        <f t="shared" si="13"/>
        <v>-2124.46</v>
      </c>
      <c r="F22" s="2"/>
      <c r="G22" s="5">
        <v>20.0</v>
      </c>
      <c r="H22" s="7"/>
      <c r="I22" s="6"/>
      <c r="J22" s="6">
        <f t="shared" si="2"/>
        <v>154.85</v>
      </c>
      <c r="K22" s="2">
        <f t="shared" si="14"/>
        <v>1544.23</v>
      </c>
      <c r="L22" s="2"/>
      <c r="M22" s="5">
        <v>20.0</v>
      </c>
      <c r="N22" s="7"/>
      <c r="O22" s="6"/>
      <c r="P22" s="6">
        <f t="shared" si="3"/>
        <v>154.85</v>
      </c>
      <c r="Q22" s="2">
        <f t="shared" si="15"/>
        <v>5452.92</v>
      </c>
      <c r="R22" s="2"/>
      <c r="S22" s="5">
        <v>20.0</v>
      </c>
      <c r="T22" s="7"/>
      <c r="U22" s="6"/>
      <c r="V22" s="6">
        <f t="shared" si="4"/>
        <v>154.85</v>
      </c>
      <c r="W22" s="2">
        <f t="shared" si="16"/>
        <v>9401.35</v>
      </c>
      <c r="X22" s="2"/>
      <c r="Y22" s="5">
        <v>20.0</v>
      </c>
      <c r="Z22" s="7"/>
      <c r="AA22" s="6"/>
      <c r="AB22" s="6">
        <f t="shared" si="5"/>
        <v>154.85</v>
      </c>
      <c r="AC22" s="2">
        <f t="shared" si="17"/>
        <v>13429.77</v>
      </c>
      <c r="AD22" s="2"/>
      <c r="AE22" s="5">
        <v>20.0</v>
      </c>
      <c r="AF22" s="7"/>
      <c r="AG22" s="6"/>
      <c r="AH22" s="6">
        <f t="shared" si="6"/>
        <v>154.85</v>
      </c>
      <c r="AI22" s="2">
        <f t="shared" si="18"/>
        <v>17791.35</v>
      </c>
      <c r="AJ22" s="2"/>
      <c r="AK22" s="5">
        <v>20.0</v>
      </c>
      <c r="AL22" s="7"/>
      <c r="AM22" s="6"/>
      <c r="AN22" s="6">
        <f t="shared" si="7"/>
        <v>154.85</v>
      </c>
      <c r="AO22" s="2">
        <f t="shared" si="19"/>
        <v>22242.92</v>
      </c>
      <c r="AP22" s="2"/>
      <c r="AQ22" s="5">
        <v>20.0</v>
      </c>
      <c r="AR22" s="7"/>
      <c r="AS22" s="6"/>
      <c r="AT22" s="6">
        <f t="shared" si="8"/>
        <v>154.85</v>
      </c>
      <c r="AU22" s="2">
        <f t="shared" si="20"/>
        <v>26694.49</v>
      </c>
      <c r="AV22" s="2"/>
      <c r="AW22" s="5">
        <v>20.0</v>
      </c>
      <c r="AX22" s="7"/>
      <c r="AY22" s="6"/>
      <c r="AZ22" s="6">
        <f t="shared" si="9"/>
        <v>154.85</v>
      </c>
      <c r="BA22" s="2">
        <f t="shared" si="21"/>
        <v>31209.74</v>
      </c>
      <c r="BB22" s="2"/>
      <c r="BC22" s="5">
        <v>20.0</v>
      </c>
      <c r="BD22" s="7"/>
      <c r="BE22" s="6"/>
      <c r="BF22" s="6">
        <f t="shared" si="10"/>
        <v>154.85</v>
      </c>
      <c r="BG22" s="2">
        <f t="shared" si="22"/>
        <v>35764.89</v>
      </c>
      <c r="BH22" s="2"/>
      <c r="BI22" s="5">
        <v>20.0</v>
      </c>
      <c r="BJ22" s="7"/>
      <c r="BK22" s="6"/>
      <c r="BL22" s="6">
        <f t="shared" si="11"/>
        <v>154.85</v>
      </c>
      <c r="BM22" s="2">
        <f t="shared" si="23"/>
        <v>40320.04</v>
      </c>
      <c r="BN22" s="2"/>
      <c r="BO22" s="5">
        <v>20.0</v>
      </c>
      <c r="BP22" s="7"/>
      <c r="BQ22" s="6"/>
      <c r="BR22" s="6">
        <f t="shared" si="12"/>
        <v>154.85</v>
      </c>
      <c r="BS22" s="2">
        <f t="shared" si="24"/>
        <v>45042.2</v>
      </c>
    </row>
    <row r="23">
      <c r="A23" s="5">
        <v>21.0</v>
      </c>
      <c r="B23" s="6">
        <v>17800.0</v>
      </c>
      <c r="C23" s="7"/>
      <c r="D23" s="6">
        <f t="shared" si="1"/>
        <v>154.85</v>
      </c>
      <c r="E23" s="2">
        <f t="shared" si="13"/>
        <v>15520.69</v>
      </c>
      <c r="F23" s="2"/>
      <c r="G23" s="5">
        <v>21.0</v>
      </c>
      <c r="H23" s="6">
        <v>17800.0</v>
      </c>
      <c r="I23" s="7"/>
      <c r="J23" s="6">
        <f t="shared" si="2"/>
        <v>154.85</v>
      </c>
      <c r="K23" s="2">
        <f t="shared" si="14"/>
        <v>19189.38</v>
      </c>
      <c r="L23" s="2"/>
      <c r="M23" s="5">
        <v>21.0</v>
      </c>
      <c r="N23" s="6">
        <v>17800.0</v>
      </c>
      <c r="O23" s="7"/>
      <c r="P23" s="6">
        <f t="shared" si="3"/>
        <v>154.85</v>
      </c>
      <c r="Q23" s="2">
        <f t="shared" si="15"/>
        <v>23098.07</v>
      </c>
      <c r="R23" s="2"/>
      <c r="S23" s="5">
        <v>21.0</v>
      </c>
      <c r="T23" s="6">
        <v>17800.0</v>
      </c>
      <c r="U23" s="7"/>
      <c r="V23" s="6">
        <f t="shared" si="4"/>
        <v>154.85</v>
      </c>
      <c r="W23" s="2">
        <f t="shared" si="16"/>
        <v>27046.5</v>
      </c>
      <c r="X23" s="2"/>
      <c r="Y23" s="5">
        <v>21.0</v>
      </c>
      <c r="Z23" s="6">
        <v>17800.0</v>
      </c>
      <c r="AA23" s="6"/>
      <c r="AB23" s="6">
        <f t="shared" si="5"/>
        <v>154.85</v>
      </c>
      <c r="AC23" s="2">
        <f t="shared" si="17"/>
        <v>31074.92</v>
      </c>
      <c r="AD23" s="2"/>
      <c r="AE23" s="5">
        <v>21.0</v>
      </c>
      <c r="AF23" s="6">
        <v>17800.0</v>
      </c>
      <c r="AG23" s="7"/>
      <c r="AH23" s="6">
        <f t="shared" si="6"/>
        <v>154.85</v>
      </c>
      <c r="AI23" s="2">
        <f t="shared" si="18"/>
        <v>35436.5</v>
      </c>
      <c r="AJ23" s="2"/>
      <c r="AK23" s="5">
        <v>21.0</v>
      </c>
      <c r="AL23" s="6">
        <v>17800.0</v>
      </c>
      <c r="AM23" s="7"/>
      <c r="AN23" s="6">
        <f t="shared" si="7"/>
        <v>154.85</v>
      </c>
      <c r="AO23" s="2">
        <f t="shared" si="19"/>
        <v>39888.07</v>
      </c>
      <c r="AP23" s="2"/>
      <c r="AQ23" s="5">
        <v>21.0</v>
      </c>
      <c r="AR23" s="6">
        <v>17800.0</v>
      </c>
      <c r="AS23" s="7"/>
      <c r="AT23" s="6">
        <f t="shared" si="8"/>
        <v>154.85</v>
      </c>
      <c r="AU23" s="2">
        <f t="shared" si="20"/>
        <v>44339.64</v>
      </c>
      <c r="AV23" s="2"/>
      <c r="AW23" s="5">
        <v>21.0</v>
      </c>
      <c r="AX23" s="6">
        <v>17800.0</v>
      </c>
      <c r="AY23" s="7"/>
      <c r="AZ23" s="6">
        <f t="shared" si="9"/>
        <v>154.85</v>
      </c>
      <c r="BA23" s="2">
        <f t="shared" si="21"/>
        <v>48854.89</v>
      </c>
      <c r="BB23" s="2"/>
      <c r="BC23" s="5">
        <v>21.0</v>
      </c>
      <c r="BD23" s="6">
        <v>17800.0</v>
      </c>
      <c r="BE23" s="7"/>
      <c r="BF23" s="6">
        <f t="shared" si="10"/>
        <v>154.85</v>
      </c>
      <c r="BG23" s="2">
        <f t="shared" si="22"/>
        <v>53410.04</v>
      </c>
      <c r="BH23" s="2"/>
      <c r="BI23" s="5">
        <v>21.0</v>
      </c>
      <c r="BJ23" s="6">
        <v>17800.0</v>
      </c>
      <c r="BK23" s="7"/>
      <c r="BL23" s="6">
        <f t="shared" si="11"/>
        <v>154.85</v>
      </c>
      <c r="BM23" s="2">
        <f t="shared" si="23"/>
        <v>57965.19</v>
      </c>
      <c r="BN23" s="2"/>
      <c r="BO23" s="5">
        <v>21.0</v>
      </c>
      <c r="BP23" s="6">
        <v>17800.0</v>
      </c>
      <c r="BQ23" s="7"/>
      <c r="BR23" s="6">
        <f t="shared" si="12"/>
        <v>154.85</v>
      </c>
      <c r="BS23" s="2">
        <f t="shared" si="24"/>
        <v>62687.35</v>
      </c>
    </row>
    <row r="24">
      <c r="A24" s="5">
        <v>22.0</v>
      </c>
      <c r="B24" s="7"/>
      <c r="C24" s="6"/>
      <c r="D24" s="6">
        <f t="shared" si="1"/>
        <v>154.85</v>
      </c>
      <c r="E24" s="2">
        <f t="shared" si="13"/>
        <v>15365.84</v>
      </c>
      <c r="F24" s="2"/>
      <c r="G24" s="5">
        <v>22.0</v>
      </c>
      <c r="H24" s="7"/>
      <c r="I24" s="6"/>
      <c r="J24" s="6">
        <f t="shared" si="2"/>
        <v>154.85</v>
      </c>
      <c r="K24" s="2">
        <f t="shared" si="14"/>
        <v>19034.53</v>
      </c>
      <c r="L24" s="2"/>
      <c r="M24" s="5">
        <v>22.0</v>
      </c>
      <c r="N24" s="7"/>
      <c r="O24" s="6"/>
      <c r="P24" s="6">
        <f t="shared" si="3"/>
        <v>154.85</v>
      </c>
      <c r="Q24" s="2">
        <f t="shared" si="15"/>
        <v>22943.22</v>
      </c>
      <c r="R24" s="2"/>
      <c r="S24" s="5">
        <v>22.0</v>
      </c>
      <c r="T24" s="7"/>
      <c r="U24" s="6"/>
      <c r="V24" s="6">
        <f t="shared" si="4"/>
        <v>154.85</v>
      </c>
      <c r="W24" s="2">
        <f t="shared" si="16"/>
        <v>26891.65</v>
      </c>
      <c r="X24" s="2"/>
      <c r="Y24" s="5">
        <v>22.0</v>
      </c>
      <c r="Z24" s="7"/>
      <c r="AA24" s="6"/>
      <c r="AB24" s="6">
        <f t="shared" si="5"/>
        <v>154.85</v>
      </c>
      <c r="AC24" s="2">
        <f t="shared" si="17"/>
        <v>30920.07</v>
      </c>
      <c r="AD24" s="2"/>
      <c r="AE24" s="5">
        <v>22.0</v>
      </c>
      <c r="AF24" s="7"/>
      <c r="AG24" s="6"/>
      <c r="AH24" s="6">
        <f t="shared" si="6"/>
        <v>154.85</v>
      </c>
      <c r="AI24" s="2">
        <f t="shared" si="18"/>
        <v>35281.65</v>
      </c>
      <c r="AJ24" s="2"/>
      <c r="AK24" s="5">
        <v>22.0</v>
      </c>
      <c r="AL24" s="7"/>
      <c r="AM24" s="6"/>
      <c r="AN24" s="6">
        <f t="shared" si="7"/>
        <v>154.85</v>
      </c>
      <c r="AO24" s="2">
        <f t="shared" si="19"/>
        <v>39733.22</v>
      </c>
      <c r="AP24" s="2"/>
      <c r="AQ24" s="5">
        <v>22.0</v>
      </c>
      <c r="AR24" s="7"/>
      <c r="AS24" s="6"/>
      <c r="AT24" s="6">
        <f t="shared" si="8"/>
        <v>154.85</v>
      </c>
      <c r="AU24" s="2">
        <f t="shared" si="20"/>
        <v>44184.79</v>
      </c>
      <c r="AV24" s="2"/>
      <c r="AW24" s="5">
        <v>22.0</v>
      </c>
      <c r="AX24" s="7"/>
      <c r="AY24" s="6"/>
      <c r="AZ24" s="6">
        <f t="shared" si="9"/>
        <v>154.85</v>
      </c>
      <c r="BA24" s="2">
        <f t="shared" si="21"/>
        <v>48700.04</v>
      </c>
      <c r="BB24" s="2"/>
      <c r="BC24" s="5">
        <v>22.0</v>
      </c>
      <c r="BD24" s="7"/>
      <c r="BE24" s="6"/>
      <c r="BF24" s="6">
        <f t="shared" si="10"/>
        <v>154.85</v>
      </c>
      <c r="BG24" s="2">
        <f t="shared" si="22"/>
        <v>53255.19</v>
      </c>
      <c r="BH24" s="2"/>
      <c r="BI24" s="5">
        <v>22.0</v>
      </c>
      <c r="BJ24" s="7"/>
      <c r="BK24" s="6"/>
      <c r="BL24" s="6">
        <f t="shared" si="11"/>
        <v>154.85</v>
      </c>
      <c r="BM24" s="2">
        <f t="shared" si="23"/>
        <v>57810.34</v>
      </c>
      <c r="BN24" s="2"/>
      <c r="BO24" s="5">
        <v>22.0</v>
      </c>
      <c r="BP24" s="7"/>
      <c r="BQ24" s="6"/>
      <c r="BR24" s="6">
        <f t="shared" si="12"/>
        <v>154.85</v>
      </c>
      <c r="BS24" s="2">
        <f t="shared" si="24"/>
        <v>62532.5</v>
      </c>
    </row>
    <row r="25">
      <c r="A25" s="5">
        <v>23.0</v>
      </c>
      <c r="B25" s="7"/>
      <c r="C25" s="7">
        <f>178.69+379.8</f>
        <v>558.49</v>
      </c>
      <c r="D25" s="6">
        <f t="shared" si="1"/>
        <v>154.85</v>
      </c>
      <c r="E25" s="2">
        <f t="shared" si="13"/>
        <v>14652.5</v>
      </c>
      <c r="F25" s="2"/>
      <c r="G25" s="5">
        <v>23.0</v>
      </c>
      <c r="H25" s="7"/>
      <c r="I25" s="7">
        <f>178.69+379.8</f>
        <v>558.49</v>
      </c>
      <c r="J25" s="6">
        <f t="shared" si="2"/>
        <v>154.85</v>
      </c>
      <c r="K25" s="2">
        <f t="shared" si="14"/>
        <v>18321.19</v>
      </c>
      <c r="L25" s="2"/>
      <c r="M25" s="5">
        <v>23.0</v>
      </c>
      <c r="N25" s="7"/>
      <c r="O25" s="7">
        <f>178.69+379.8</f>
        <v>558.49</v>
      </c>
      <c r="P25" s="6">
        <f t="shared" si="3"/>
        <v>154.85</v>
      </c>
      <c r="Q25" s="2">
        <f t="shared" si="15"/>
        <v>22229.88</v>
      </c>
      <c r="R25" s="2"/>
      <c r="S25" s="5">
        <v>23.0</v>
      </c>
      <c r="T25" s="7"/>
      <c r="U25" s="7">
        <f>178.69+379.8</f>
        <v>558.49</v>
      </c>
      <c r="V25" s="6">
        <f t="shared" si="4"/>
        <v>154.85</v>
      </c>
      <c r="W25" s="2">
        <f t="shared" si="16"/>
        <v>26178.31</v>
      </c>
      <c r="X25" s="2"/>
      <c r="Y25" s="5">
        <v>23.0</v>
      </c>
      <c r="Z25" s="7"/>
      <c r="AA25" s="7">
        <f>178.69+379.8</f>
        <v>558.49</v>
      </c>
      <c r="AB25" s="6">
        <f t="shared" si="5"/>
        <v>154.85</v>
      </c>
      <c r="AC25" s="2">
        <f t="shared" si="17"/>
        <v>30206.73</v>
      </c>
      <c r="AD25" s="2"/>
      <c r="AE25" s="5">
        <v>23.0</v>
      </c>
      <c r="AF25" s="7"/>
      <c r="AG25" s="7">
        <f>178.69+379.8</f>
        <v>558.49</v>
      </c>
      <c r="AH25" s="6">
        <f t="shared" si="6"/>
        <v>154.85</v>
      </c>
      <c r="AI25" s="2">
        <f t="shared" si="18"/>
        <v>34568.31</v>
      </c>
      <c r="AJ25" s="2"/>
      <c r="AK25" s="5">
        <v>23.0</v>
      </c>
      <c r="AL25" s="7"/>
      <c r="AM25" s="7">
        <f>178.69+379.8</f>
        <v>558.49</v>
      </c>
      <c r="AN25" s="6">
        <f t="shared" si="7"/>
        <v>154.85</v>
      </c>
      <c r="AO25" s="2">
        <f t="shared" si="19"/>
        <v>39019.88</v>
      </c>
      <c r="AP25" s="2"/>
      <c r="AQ25" s="5">
        <v>23.0</v>
      </c>
      <c r="AR25" s="7"/>
      <c r="AS25" s="7">
        <f>178.69+379.8</f>
        <v>558.49</v>
      </c>
      <c r="AT25" s="6">
        <f t="shared" si="8"/>
        <v>154.85</v>
      </c>
      <c r="AU25" s="2">
        <f t="shared" si="20"/>
        <v>43471.45</v>
      </c>
      <c r="AV25" s="2"/>
      <c r="AW25" s="5">
        <v>23.0</v>
      </c>
      <c r="AX25" s="7"/>
      <c r="AY25" s="7">
        <f>178.69+379.8</f>
        <v>558.49</v>
      </c>
      <c r="AZ25" s="6">
        <f t="shared" si="9"/>
        <v>154.85</v>
      </c>
      <c r="BA25" s="2">
        <f t="shared" si="21"/>
        <v>47986.7</v>
      </c>
      <c r="BB25" s="2"/>
      <c r="BC25" s="5">
        <v>23.0</v>
      </c>
      <c r="BD25" s="7"/>
      <c r="BE25" s="7">
        <f>178.69+379.8</f>
        <v>558.49</v>
      </c>
      <c r="BF25" s="6">
        <f t="shared" si="10"/>
        <v>154.85</v>
      </c>
      <c r="BG25" s="2">
        <f t="shared" si="22"/>
        <v>52541.85</v>
      </c>
      <c r="BH25" s="2"/>
      <c r="BI25" s="5">
        <v>23.0</v>
      </c>
      <c r="BJ25" s="7"/>
      <c r="BK25" s="7">
        <f>178.69+379.8</f>
        <v>558.49</v>
      </c>
      <c r="BL25" s="6">
        <f t="shared" si="11"/>
        <v>154.85</v>
      </c>
      <c r="BM25" s="2">
        <f t="shared" si="23"/>
        <v>57097</v>
      </c>
      <c r="BN25" s="2"/>
      <c r="BO25" s="5">
        <v>23.0</v>
      </c>
      <c r="BP25" s="7"/>
      <c r="BQ25" s="7">
        <f>178.69+379.8</f>
        <v>558.49</v>
      </c>
      <c r="BR25" s="6">
        <f t="shared" si="12"/>
        <v>154.85</v>
      </c>
      <c r="BS25" s="2">
        <f t="shared" si="24"/>
        <v>61819.16</v>
      </c>
    </row>
    <row r="26">
      <c r="A26" s="5">
        <v>24.0</v>
      </c>
      <c r="B26" s="7"/>
      <c r="C26" s="9">
        <f>167.01+553.3+333.16</f>
        <v>1053.47</v>
      </c>
      <c r="D26" s="6">
        <f t="shared" si="1"/>
        <v>154.85</v>
      </c>
      <c r="E26" s="2">
        <f t="shared" si="13"/>
        <v>13444.18</v>
      </c>
      <c r="F26" s="2"/>
      <c r="G26" s="5">
        <v>24.0</v>
      </c>
      <c r="H26" s="7"/>
      <c r="I26" s="9">
        <f>167.01+313.3+333.16</f>
        <v>813.47</v>
      </c>
      <c r="J26" s="6">
        <f t="shared" si="2"/>
        <v>154.85</v>
      </c>
      <c r="K26" s="2">
        <f t="shared" si="14"/>
        <v>17352.87</v>
      </c>
      <c r="L26" s="2"/>
      <c r="M26" s="5">
        <v>24.0</v>
      </c>
      <c r="N26" s="7"/>
      <c r="O26" s="9">
        <f>167.01+273.56+333.16</f>
        <v>773.73</v>
      </c>
      <c r="P26" s="6">
        <f t="shared" si="3"/>
        <v>154.85</v>
      </c>
      <c r="Q26" s="2">
        <f t="shared" si="15"/>
        <v>21301.3</v>
      </c>
      <c r="R26" s="2"/>
      <c r="S26" s="5">
        <v>24.0</v>
      </c>
      <c r="T26" s="7"/>
      <c r="U26" s="9">
        <f>167.01+193.57+333.16</f>
        <v>693.74</v>
      </c>
      <c r="V26" s="6">
        <f t="shared" si="4"/>
        <v>154.85</v>
      </c>
      <c r="W26" s="2">
        <f t="shared" si="16"/>
        <v>25329.72</v>
      </c>
      <c r="X26" s="2"/>
      <c r="Y26" s="5">
        <v>24.0</v>
      </c>
      <c r="Z26" s="7"/>
      <c r="AA26" s="9">
        <f>167.01+193.57</f>
        <v>360.58</v>
      </c>
      <c r="AB26" s="6">
        <f t="shared" si="5"/>
        <v>154.85</v>
      </c>
      <c r="AC26" s="2">
        <f t="shared" si="17"/>
        <v>29691.3</v>
      </c>
      <c r="AD26" s="2"/>
      <c r="AE26" s="5">
        <v>24.0</v>
      </c>
      <c r="AF26" s="7"/>
      <c r="AG26" s="9">
        <f>167.01+103.58</f>
        <v>270.59</v>
      </c>
      <c r="AH26" s="6">
        <f t="shared" si="6"/>
        <v>154.85</v>
      </c>
      <c r="AI26" s="2">
        <f t="shared" si="18"/>
        <v>34142.87</v>
      </c>
      <c r="AJ26" s="2"/>
      <c r="AK26" s="5">
        <v>24.0</v>
      </c>
      <c r="AL26" s="7"/>
      <c r="AM26" s="9">
        <f>167.01+103.58</f>
        <v>270.59</v>
      </c>
      <c r="AN26" s="6">
        <f t="shared" si="7"/>
        <v>154.85</v>
      </c>
      <c r="AO26" s="2">
        <f t="shared" si="19"/>
        <v>38594.44</v>
      </c>
      <c r="AP26" s="2"/>
      <c r="AQ26" s="5">
        <v>24.0</v>
      </c>
      <c r="AR26" s="7"/>
      <c r="AS26" s="9">
        <f>167.01+39.9</f>
        <v>206.91</v>
      </c>
      <c r="AT26" s="6">
        <f t="shared" si="8"/>
        <v>154.85</v>
      </c>
      <c r="AU26" s="2">
        <f t="shared" si="20"/>
        <v>43109.69</v>
      </c>
      <c r="AV26" s="2"/>
      <c r="AW26" s="5">
        <v>24.0</v>
      </c>
      <c r="AX26" s="7"/>
      <c r="AY26" s="9">
        <v>167.01</v>
      </c>
      <c r="AZ26" s="6">
        <f t="shared" si="9"/>
        <v>154.85</v>
      </c>
      <c r="BA26" s="2">
        <f t="shared" si="21"/>
        <v>47664.84</v>
      </c>
      <c r="BB26" s="2"/>
      <c r="BC26" s="5">
        <v>24.0</v>
      </c>
      <c r="BD26" s="7"/>
      <c r="BE26" s="9">
        <v>167.01</v>
      </c>
      <c r="BF26" s="6">
        <f t="shared" si="10"/>
        <v>154.85</v>
      </c>
      <c r="BG26" s="2">
        <f t="shared" si="22"/>
        <v>52219.99</v>
      </c>
      <c r="BH26" s="2"/>
      <c r="BI26" s="5">
        <v>24.0</v>
      </c>
      <c r="BJ26" s="7"/>
      <c r="BK26" s="7"/>
      <c r="BL26" s="6">
        <f t="shared" si="11"/>
        <v>154.85</v>
      </c>
      <c r="BM26" s="2">
        <f t="shared" si="23"/>
        <v>56942.15</v>
      </c>
      <c r="BN26" s="2"/>
      <c r="BO26" s="5">
        <v>24.0</v>
      </c>
      <c r="BP26" s="7"/>
      <c r="BQ26" s="7"/>
      <c r="BR26" s="6">
        <f t="shared" si="12"/>
        <v>154.85</v>
      </c>
      <c r="BS26" s="2">
        <f t="shared" si="24"/>
        <v>61664.31</v>
      </c>
    </row>
    <row r="27">
      <c r="A27" s="5">
        <v>25.0</v>
      </c>
      <c r="B27" s="7"/>
      <c r="C27" s="10"/>
      <c r="D27" s="6">
        <f t="shared" si="1"/>
        <v>154.85</v>
      </c>
      <c r="E27" s="2">
        <f t="shared" si="13"/>
        <v>13289.33</v>
      </c>
      <c r="F27" s="2"/>
      <c r="G27" s="5">
        <v>25.0</v>
      </c>
      <c r="H27" s="7"/>
      <c r="I27" s="10"/>
      <c r="J27" s="6">
        <f t="shared" si="2"/>
        <v>154.85</v>
      </c>
      <c r="K27" s="2">
        <f t="shared" si="14"/>
        <v>17198.02</v>
      </c>
      <c r="L27" s="2"/>
      <c r="M27" s="5">
        <v>25.0</v>
      </c>
      <c r="N27" s="7"/>
      <c r="O27" s="10"/>
      <c r="P27" s="6">
        <f t="shared" si="3"/>
        <v>154.85</v>
      </c>
      <c r="Q27" s="2">
        <f t="shared" si="15"/>
        <v>21146.45</v>
      </c>
      <c r="R27" s="2"/>
      <c r="S27" s="5">
        <v>25.0</v>
      </c>
      <c r="T27" s="7"/>
      <c r="U27" s="10"/>
      <c r="V27" s="6">
        <f t="shared" si="4"/>
        <v>154.85</v>
      </c>
      <c r="W27" s="2">
        <f t="shared" si="16"/>
        <v>25174.87</v>
      </c>
      <c r="X27" s="2"/>
      <c r="Y27" s="5">
        <v>25.0</v>
      </c>
      <c r="Z27" s="7"/>
      <c r="AA27" s="10"/>
      <c r="AB27" s="6">
        <f t="shared" si="5"/>
        <v>154.85</v>
      </c>
      <c r="AC27" s="2">
        <f t="shared" si="17"/>
        <v>29536.45</v>
      </c>
      <c r="AD27" s="2"/>
      <c r="AE27" s="5">
        <v>25.0</v>
      </c>
      <c r="AF27" s="7"/>
      <c r="AG27" s="10"/>
      <c r="AH27" s="6">
        <f t="shared" si="6"/>
        <v>154.85</v>
      </c>
      <c r="AI27" s="2">
        <f t="shared" si="18"/>
        <v>33988.02</v>
      </c>
      <c r="AJ27" s="2"/>
      <c r="AK27" s="5">
        <v>25.0</v>
      </c>
      <c r="AL27" s="7"/>
      <c r="AM27" s="10"/>
      <c r="AN27" s="6">
        <f t="shared" si="7"/>
        <v>154.85</v>
      </c>
      <c r="AO27" s="2">
        <f t="shared" si="19"/>
        <v>38439.59</v>
      </c>
      <c r="AP27" s="2"/>
      <c r="AQ27" s="5">
        <v>25.0</v>
      </c>
      <c r="AR27" s="7"/>
      <c r="AS27" s="10"/>
      <c r="AT27" s="6">
        <f t="shared" si="8"/>
        <v>154.85</v>
      </c>
      <c r="AU27" s="2">
        <f t="shared" si="20"/>
        <v>42954.84</v>
      </c>
      <c r="AV27" s="2"/>
      <c r="AW27" s="5">
        <v>25.0</v>
      </c>
      <c r="AX27" s="7"/>
      <c r="AY27" s="10"/>
      <c r="AZ27" s="6">
        <f t="shared" si="9"/>
        <v>154.85</v>
      </c>
      <c r="BA27" s="2">
        <f t="shared" si="21"/>
        <v>47509.99</v>
      </c>
      <c r="BB27" s="2"/>
      <c r="BC27" s="5">
        <v>25.0</v>
      </c>
      <c r="BD27" s="7"/>
      <c r="BE27" s="10"/>
      <c r="BF27" s="6">
        <f t="shared" si="10"/>
        <v>154.85</v>
      </c>
      <c r="BG27" s="2">
        <f t="shared" si="22"/>
        <v>52065.14</v>
      </c>
      <c r="BH27" s="2"/>
      <c r="BI27" s="5">
        <v>25.0</v>
      </c>
      <c r="BJ27" s="7"/>
      <c r="BK27" s="10"/>
      <c r="BL27" s="6">
        <f t="shared" si="11"/>
        <v>154.85</v>
      </c>
      <c r="BM27" s="2">
        <f t="shared" si="23"/>
        <v>56787.3</v>
      </c>
      <c r="BN27" s="2"/>
      <c r="BO27" s="5">
        <v>25.0</v>
      </c>
      <c r="BP27" s="7"/>
      <c r="BQ27" s="10"/>
      <c r="BR27" s="6">
        <f t="shared" si="12"/>
        <v>154.85</v>
      </c>
      <c r="BS27" s="2">
        <f t="shared" si="24"/>
        <v>61509.46</v>
      </c>
    </row>
    <row r="28">
      <c r="A28" s="5">
        <v>26.0</v>
      </c>
      <c r="B28" s="7"/>
      <c r="C28" s="7">
        <f>4230+103+30+110+45</f>
        <v>4518</v>
      </c>
      <c r="D28" s="6">
        <f t="shared" si="1"/>
        <v>154.85</v>
      </c>
      <c r="E28" s="2">
        <f t="shared" si="13"/>
        <v>8616.48</v>
      </c>
      <c r="F28" s="2"/>
      <c r="G28" s="5">
        <v>26.0</v>
      </c>
      <c r="H28" s="7"/>
      <c r="I28" s="7">
        <f>4230+103+30+110+45</f>
        <v>4518</v>
      </c>
      <c r="J28" s="6">
        <f t="shared" si="2"/>
        <v>154.85</v>
      </c>
      <c r="K28" s="2">
        <f t="shared" si="14"/>
        <v>12525.17</v>
      </c>
      <c r="L28" s="2"/>
      <c r="M28" s="5">
        <v>26.0</v>
      </c>
      <c r="N28" s="7"/>
      <c r="O28" s="7">
        <f>4230+103+30+110+45</f>
        <v>4518</v>
      </c>
      <c r="P28" s="6">
        <f t="shared" si="3"/>
        <v>154.85</v>
      </c>
      <c r="Q28" s="2">
        <f t="shared" si="15"/>
        <v>16473.6</v>
      </c>
      <c r="R28" s="2"/>
      <c r="S28" s="5">
        <v>26.0</v>
      </c>
      <c r="T28" s="7"/>
      <c r="U28" s="7">
        <f>4230+103+30+110+45</f>
        <v>4518</v>
      </c>
      <c r="V28" s="6">
        <f t="shared" si="4"/>
        <v>154.85</v>
      </c>
      <c r="W28" s="2">
        <f t="shared" si="16"/>
        <v>20502.02</v>
      </c>
      <c r="X28" s="2"/>
      <c r="Y28" s="5">
        <v>26.0</v>
      </c>
      <c r="Z28" s="7"/>
      <c r="AA28" s="7">
        <f>4230+103+30+110+45</f>
        <v>4518</v>
      </c>
      <c r="AB28" s="6">
        <f t="shared" si="5"/>
        <v>154.85</v>
      </c>
      <c r="AC28" s="2">
        <f t="shared" si="17"/>
        <v>24863.6</v>
      </c>
      <c r="AD28" s="2"/>
      <c r="AE28" s="5">
        <v>26.0</v>
      </c>
      <c r="AF28" s="7"/>
      <c r="AG28" s="7">
        <f>4230+103+30+110+45</f>
        <v>4518</v>
      </c>
      <c r="AH28" s="6">
        <f t="shared" si="6"/>
        <v>154.85</v>
      </c>
      <c r="AI28" s="2">
        <f t="shared" si="18"/>
        <v>29315.17</v>
      </c>
      <c r="AJ28" s="2"/>
      <c r="AK28" s="5">
        <v>26.0</v>
      </c>
      <c r="AL28" s="7"/>
      <c r="AM28" s="7">
        <f>4230+103+30+110+45</f>
        <v>4518</v>
      </c>
      <c r="AN28" s="6">
        <f t="shared" si="7"/>
        <v>154.85</v>
      </c>
      <c r="AO28" s="2">
        <f t="shared" si="19"/>
        <v>33766.74</v>
      </c>
      <c r="AP28" s="2"/>
      <c r="AQ28" s="5">
        <v>26.0</v>
      </c>
      <c r="AR28" s="7"/>
      <c r="AS28" s="7">
        <f>4230+103+30+110+45</f>
        <v>4518</v>
      </c>
      <c r="AT28" s="6">
        <f t="shared" si="8"/>
        <v>154.85</v>
      </c>
      <c r="AU28" s="2">
        <f t="shared" si="20"/>
        <v>38281.99</v>
      </c>
      <c r="AV28" s="2"/>
      <c r="AW28" s="5">
        <v>26.0</v>
      </c>
      <c r="AX28" s="7"/>
      <c r="AY28" s="7">
        <f>4230+103+30+110+45</f>
        <v>4518</v>
      </c>
      <c r="AZ28" s="6">
        <f t="shared" si="9"/>
        <v>154.85</v>
      </c>
      <c r="BA28" s="2">
        <f t="shared" si="21"/>
        <v>42837.14</v>
      </c>
      <c r="BB28" s="2"/>
      <c r="BC28" s="5">
        <v>26.0</v>
      </c>
      <c r="BD28" s="7"/>
      <c r="BE28" s="7">
        <f>4230+103+30+110+45</f>
        <v>4518</v>
      </c>
      <c r="BF28" s="6">
        <f t="shared" si="10"/>
        <v>154.85</v>
      </c>
      <c r="BG28" s="2">
        <f t="shared" si="22"/>
        <v>47392.29</v>
      </c>
      <c r="BH28" s="2"/>
      <c r="BI28" s="5">
        <v>26.0</v>
      </c>
      <c r="BJ28" s="7"/>
      <c r="BK28" s="7">
        <f>4230+103+30+110+45</f>
        <v>4518</v>
      </c>
      <c r="BL28" s="6">
        <f t="shared" si="11"/>
        <v>154.85</v>
      </c>
      <c r="BM28" s="2">
        <f t="shared" si="23"/>
        <v>52114.45</v>
      </c>
      <c r="BN28" s="2"/>
      <c r="BO28" s="5">
        <v>26.0</v>
      </c>
      <c r="BP28" s="7"/>
      <c r="BQ28" s="7">
        <f>4230+103+30+110+45</f>
        <v>4518</v>
      </c>
      <c r="BR28" s="6">
        <f t="shared" si="12"/>
        <v>154.85</v>
      </c>
      <c r="BS28" s="2">
        <f t="shared" si="24"/>
        <v>56836.61</v>
      </c>
    </row>
    <row r="29">
      <c r="A29" s="5">
        <v>27.0</v>
      </c>
      <c r="B29" s="7"/>
      <c r="C29" s="7"/>
      <c r="D29" s="6">
        <f t="shared" si="1"/>
        <v>154.85</v>
      </c>
      <c r="E29" s="2">
        <f t="shared" si="13"/>
        <v>8461.63</v>
      </c>
      <c r="F29" s="2"/>
      <c r="G29" s="5">
        <v>27.0</v>
      </c>
      <c r="H29" s="7"/>
      <c r="I29" s="7"/>
      <c r="J29" s="6">
        <f t="shared" si="2"/>
        <v>154.85</v>
      </c>
      <c r="K29" s="2">
        <f t="shared" si="14"/>
        <v>12370.32</v>
      </c>
      <c r="L29" s="2"/>
      <c r="M29" s="5">
        <v>27.0</v>
      </c>
      <c r="N29" s="7"/>
      <c r="O29" s="7"/>
      <c r="P29" s="6">
        <f t="shared" si="3"/>
        <v>154.85</v>
      </c>
      <c r="Q29" s="2">
        <f t="shared" si="15"/>
        <v>16318.75</v>
      </c>
      <c r="R29" s="2"/>
      <c r="S29" s="5">
        <v>27.0</v>
      </c>
      <c r="T29" s="7"/>
      <c r="U29" s="7"/>
      <c r="V29" s="6">
        <f t="shared" si="4"/>
        <v>154.85</v>
      </c>
      <c r="W29" s="2">
        <f t="shared" si="16"/>
        <v>20347.17</v>
      </c>
      <c r="X29" s="2"/>
      <c r="Y29" s="5">
        <v>27.0</v>
      </c>
      <c r="Z29" s="7"/>
      <c r="AA29" s="7"/>
      <c r="AB29" s="6">
        <f t="shared" si="5"/>
        <v>154.85</v>
      </c>
      <c r="AC29" s="2">
        <f t="shared" si="17"/>
        <v>24708.75</v>
      </c>
      <c r="AD29" s="2"/>
      <c r="AE29" s="5">
        <v>27.0</v>
      </c>
      <c r="AF29" s="7"/>
      <c r="AG29" s="7"/>
      <c r="AH29" s="6">
        <f t="shared" si="6"/>
        <v>154.85</v>
      </c>
      <c r="AI29" s="2">
        <f t="shared" si="18"/>
        <v>29160.32</v>
      </c>
      <c r="AJ29" s="2"/>
      <c r="AK29" s="5">
        <v>27.0</v>
      </c>
      <c r="AL29" s="7"/>
      <c r="AM29" s="7"/>
      <c r="AN29" s="6">
        <f t="shared" si="7"/>
        <v>154.85</v>
      </c>
      <c r="AO29" s="2">
        <f t="shared" si="19"/>
        <v>33611.89</v>
      </c>
      <c r="AP29" s="2"/>
      <c r="AQ29" s="5">
        <v>27.0</v>
      </c>
      <c r="AR29" s="7"/>
      <c r="AS29" s="7"/>
      <c r="AT29" s="6">
        <f t="shared" si="8"/>
        <v>154.85</v>
      </c>
      <c r="AU29" s="2">
        <f t="shared" si="20"/>
        <v>38127.14</v>
      </c>
      <c r="AV29" s="2"/>
      <c r="AW29" s="5">
        <v>27.0</v>
      </c>
      <c r="AX29" s="7"/>
      <c r="AY29" s="7"/>
      <c r="AZ29" s="6">
        <f t="shared" si="9"/>
        <v>154.85</v>
      </c>
      <c r="BA29" s="2">
        <f t="shared" si="21"/>
        <v>42682.29</v>
      </c>
      <c r="BB29" s="2"/>
      <c r="BC29" s="5">
        <v>27.0</v>
      </c>
      <c r="BD29" s="7"/>
      <c r="BE29" s="7"/>
      <c r="BF29" s="6">
        <f t="shared" si="10"/>
        <v>154.85</v>
      </c>
      <c r="BG29" s="2">
        <f t="shared" si="22"/>
        <v>47237.44</v>
      </c>
      <c r="BH29" s="2"/>
      <c r="BI29" s="5">
        <v>27.0</v>
      </c>
      <c r="BJ29" s="7"/>
      <c r="BK29" s="7"/>
      <c r="BL29" s="6">
        <f t="shared" si="11"/>
        <v>154.85</v>
      </c>
      <c r="BM29" s="2">
        <f t="shared" si="23"/>
        <v>51959.6</v>
      </c>
      <c r="BN29" s="2"/>
      <c r="BO29" s="5">
        <v>27.0</v>
      </c>
      <c r="BP29" s="7"/>
      <c r="BQ29" s="7"/>
      <c r="BR29" s="6">
        <f t="shared" si="12"/>
        <v>154.85</v>
      </c>
      <c r="BS29" s="2">
        <f t="shared" si="24"/>
        <v>56681.76</v>
      </c>
    </row>
    <row r="30">
      <c r="A30" s="5">
        <v>28.0</v>
      </c>
      <c r="B30" s="7"/>
      <c r="C30" s="7"/>
      <c r="D30" s="6">
        <f t="shared" si="1"/>
        <v>154.85</v>
      </c>
      <c r="E30" s="2">
        <f t="shared" si="13"/>
        <v>8306.78</v>
      </c>
      <c r="F30" s="2"/>
      <c r="G30" s="5">
        <v>28.0</v>
      </c>
      <c r="H30" s="7"/>
      <c r="I30" s="7"/>
      <c r="J30" s="6">
        <f t="shared" si="2"/>
        <v>154.85</v>
      </c>
      <c r="K30" s="2">
        <f t="shared" si="14"/>
        <v>12215.47</v>
      </c>
      <c r="L30" s="2"/>
      <c r="M30" s="5">
        <v>28.0</v>
      </c>
      <c r="N30" s="7"/>
      <c r="O30" s="7"/>
      <c r="P30" s="6">
        <f t="shared" si="3"/>
        <v>154.85</v>
      </c>
      <c r="Q30" s="2">
        <f t="shared" si="15"/>
        <v>16163.9</v>
      </c>
      <c r="R30" s="2"/>
      <c r="S30" s="5">
        <v>28.0</v>
      </c>
      <c r="T30" s="7"/>
      <c r="U30" s="7"/>
      <c r="V30" s="6">
        <f t="shared" si="4"/>
        <v>154.85</v>
      </c>
      <c r="W30" s="2">
        <f t="shared" si="16"/>
        <v>20192.32</v>
      </c>
      <c r="X30" s="2"/>
      <c r="Y30" s="5">
        <v>28.0</v>
      </c>
      <c r="Z30" s="7"/>
      <c r="AA30" s="7"/>
      <c r="AB30" s="6">
        <f t="shared" si="5"/>
        <v>154.85</v>
      </c>
      <c r="AC30" s="2">
        <f t="shared" si="17"/>
        <v>24553.9</v>
      </c>
      <c r="AD30" s="2"/>
      <c r="AE30" s="5">
        <v>28.0</v>
      </c>
      <c r="AF30" s="7"/>
      <c r="AG30" s="7"/>
      <c r="AH30" s="6">
        <f t="shared" si="6"/>
        <v>154.85</v>
      </c>
      <c r="AI30" s="2">
        <f t="shared" si="18"/>
        <v>29005.47</v>
      </c>
      <c r="AJ30" s="2"/>
      <c r="AK30" s="5">
        <v>28.0</v>
      </c>
      <c r="AL30" s="7"/>
      <c r="AM30" s="7"/>
      <c r="AN30" s="6">
        <f t="shared" si="7"/>
        <v>154.85</v>
      </c>
      <c r="AO30" s="2">
        <f t="shared" si="19"/>
        <v>33457.04</v>
      </c>
      <c r="AP30" s="2"/>
      <c r="AQ30" s="5">
        <v>28.0</v>
      </c>
      <c r="AR30" s="7"/>
      <c r="AS30" s="7"/>
      <c r="AT30" s="6">
        <f t="shared" si="8"/>
        <v>154.85</v>
      </c>
      <c r="AU30" s="2">
        <f t="shared" si="20"/>
        <v>37972.29</v>
      </c>
      <c r="AV30" s="2"/>
      <c r="AW30" s="5">
        <v>28.0</v>
      </c>
      <c r="AX30" s="7"/>
      <c r="AY30" s="7"/>
      <c r="AZ30" s="6">
        <f t="shared" si="9"/>
        <v>154.85</v>
      </c>
      <c r="BA30" s="2">
        <f t="shared" si="21"/>
        <v>42527.44</v>
      </c>
      <c r="BB30" s="2"/>
      <c r="BC30" s="5">
        <v>28.0</v>
      </c>
      <c r="BD30" s="7"/>
      <c r="BE30" s="7"/>
      <c r="BF30" s="6">
        <f t="shared" si="10"/>
        <v>154.85</v>
      </c>
      <c r="BG30" s="2">
        <f t="shared" si="22"/>
        <v>47082.59</v>
      </c>
      <c r="BH30" s="2"/>
      <c r="BI30" s="5">
        <v>28.0</v>
      </c>
      <c r="BJ30" s="7"/>
      <c r="BK30" s="7"/>
      <c r="BL30" s="6">
        <f t="shared" si="11"/>
        <v>154.85</v>
      </c>
      <c r="BM30" s="2">
        <f t="shared" si="23"/>
        <v>51804.75</v>
      </c>
      <c r="BN30" s="2"/>
      <c r="BO30" s="5">
        <v>28.0</v>
      </c>
      <c r="BP30" s="7"/>
      <c r="BQ30" s="7"/>
      <c r="BR30" s="6">
        <f t="shared" si="12"/>
        <v>154.85</v>
      </c>
      <c r="BS30" s="2">
        <f t="shared" si="24"/>
        <v>56526.91</v>
      </c>
    </row>
    <row r="31">
      <c r="A31" s="5">
        <v>29.0</v>
      </c>
      <c r="B31" s="7"/>
      <c r="C31" s="7"/>
      <c r="D31" s="6">
        <f t="shared" si="1"/>
        <v>154.85</v>
      </c>
      <c r="E31" s="2">
        <f t="shared" si="13"/>
        <v>8151.93</v>
      </c>
      <c r="F31" s="2"/>
      <c r="G31" s="5">
        <v>29.0</v>
      </c>
      <c r="H31" s="7"/>
      <c r="I31" s="7"/>
      <c r="J31" s="6">
        <f t="shared" si="2"/>
        <v>154.85</v>
      </c>
      <c r="K31" s="2">
        <f t="shared" si="14"/>
        <v>12060.62</v>
      </c>
      <c r="L31" s="2"/>
      <c r="M31" s="5">
        <v>29.0</v>
      </c>
      <c r="N31" s="7"/>
      <c r="O31" s="7"/>
      <c r="P31" s="6">
        <f t="shared" si="3"/>
        <v>154.85</v>
      </c>
      <c r="Q31" s="2">
        <f t="shared" si="15"/>
        <v>16009.05</v>
      </c>
      <c r="R31" s="2"/>
      <c r="S31" s="5">
        <v>29.0</v>
      </c>
      <c r="T31" s="7"/>
      <c r="U31" s="7"/>
      <c r="V31" s="6">
        <f t="shared" si="4"/>
        <v>154.85</v>
      </c>
      <c r="W31" s="2">
        <f t="shared" si="16"/>
        <v>20037.47</v>
      </c>
      <c r="X31" s="2"/>
      <c r="Y31" s="5">
        <v>29.0</v>
      </c>
      <c r="Z31" s="7"/>
      <c r="AA31" s="7"/>
      <c r="AB31" s="6">
        <f t="shared" si="5"/>
        <v>154.85</v>
      </c>
      <c r="AC31" s="2">
        <f t="shared" si="17"/>
        <v>24399.05</v>
      </c>
      <c r="AD31" s="2"/>
      <c r="AE31" s="5">
        <v>29.0</v>
      </c>
      <c r="AF31" s="7"/>
      <c r="AG31" s="7"/>
      <c r="AH31" s="6">
        <f t="shared" si="6"/>
        <v>154.85</v>
      </c>
      <c r="AI31" s="2">
        <f t="shared" si="18"/>
        <v>28850.62</v>
      </c>
      <c r="AJ31" s="2"/>
      <c r="AK31" s="5">
        <v>29.0</v>
      </c>
      <c r="AL31" s="7"/>
      <c r="AM31" s="7"/>
      <c r="AN31" s="6">
        <f t="shared" si="7"/>
        <v>154.85</v>
      </c>
      <c r="AO31" s="2">
        <f t="shared" si="19"/>
        <v>33302.19</v>
      </c>
      <c r="AP31" s="2"/>
      <c r="AQ31" s="5">
        <v>29.0</v>
      </c>
      <c r="AR31" s="7"/>
      <c r="AS31" s="7"/>
      <c r="AT31" s="6">
        <f t="shared" si="8"/>
        <v>154.85</v>
      </c>
      <c r="AU31" s="2">
        <f t="shared" si="20"/>
        <v>37817.44</v>
      </c>
      <c r="AV31" s="2"/>
      <c r="AW31" s="5">
        <v>29.0</v>
      </c>
      <c r="AX31" s="7"/>
      <c r="AY31" s="7"/>
      <c r="AZ31" s="6">
        <f t="shared" si="9"/>
        <v>154.85</v>
      </c>
      <c r="BA31" s="2">
        <f t="shared" si="21"/>
        <v>42372.59</v>
      </c>
      <c r="BB31" s="2"/>
      <c r="BC31" s="5">
        <v>29.0</v>
      </c>
      <c r="BD31" s="7"/>
      <c r="BE31" s="7"/>
      <c r="BF31" s="6">
        <f t="shared" si="10"/>
        <v>154.85</v>
      </c>
      <c r="BG31" s="2">
        <f t="shared" si="22"/>
        <v>46927.74</v>
      </c>
      <c r="BH31" s="2"/>
      <c r="BI31" s="5">
        <v>29.0</v>
      </c>
      <c r="BJ31" s="7"/>
      <c r="BK31" s="7"/>
      <c r="BL31" s="6">
        <f t="shared" si="11"/>
        <v>154.85</v>
      </c>
      <c r="BM31" s="2">
        <f t="shared" si="23"/>
        <v>51649.9</v>
      </c>
      <c r="BN31" s="2"/>
      <c r="BO31" s="5">
        <v>29.0</v>
      </c>
      <c r="BP31" s="7"/>
      <c r="BQ31" s="7"/>
      <c r="BR31" s="6">
        <f t="shared" si="12"/>
        <v>154.85</v>
      </c>
      <c r="BS31" s="2">
        <f t="shared" si="24"/>
        <v>56372.06</v>
      </c>
    </row>
    <row r="32">
      <c r="A32" s="5">
        <v>30.0</v>
      </c>
      <c r="B32" s="7"/>
      <c r="C32" s="7"/>
      <c r="D32" s="6">
        <f t="shared" si="1"/>
        <v>154.85</v>
      </c>
      <c r="E32" s="2">
        <f t="shared" si="13"/>
        <v>7997.08</v>
      </c>
      <c r="F32" s="2"/>
      <c r="G32" s="5">
        <v>30.0</v>
      </c>
      <c r="H32" s="7"/>
      <c r="I32" s="7"/>
      <c r="J32" s="6">
        <f t="shared" si="2"/>
        <v>154.85</v>
      </c>
      <c r="K32" s="2">
        <f t="shared" si="14"/>
        <v>11905.77</v>
      </c>
      <c r="L32" s="2"/>
      <c r="M32" s="5">
        <v>30.0</v>
      </c>
      <c r="N32" s="7"/>
      <c r="O32" s="7"/>
      <c r="P32" s="6">
        <f t="shared" si="3"/>
        <v>154.85</v>
      </c>
      <c r="Q32" s="2">
        <f t="shared" si="15"/>
        <v>15854.2</v>
      </c>
      <c r="R32" s="2"/>
      <c r="S32" s="5">
        <v>30.0</v>
      </c>
      <c r="T32" s="7"/>
      <c r="U32" s="7"/>
      <c r="V32" s="6">
        <f t="shared" si="4"/>
        <v>154.85</v>
      </c>
      <c r="W32" s="2">
        <f t="shared" si="16"/>
        <v>19882.62</v>
      </c>
      <c r="X32" s="2"/>
      <c r="Y32" s="5">
        <v>30.0</v>
      </c>
      <c r="Z32" s="7"/>
      <c r="AA32" s="7"/>
      <c r="AB32" s="6">
        <f t="shared" si="5"/>
        <v>154.85</v>
      </c>
      <c r="AC32" s="2">
        <f t="shared" si="17"/>
        <v>24244.2</v>
      </c>
      <c r="AD32" s="2"/>
      <c r="AE32" s="5">
        <v>30.0</v>
      </c>
      <c r="AF32" s="7"/>
      <c r="AG32" s="7"/>
      <c r="AH32" s="6">
        <f t="shared" si="6"/>
        <v>154.85</v>
      </c>
      <c r="AI32" s="2">
        <f t="shared" si="18"/>
        <v>28695.77</v>
      </c>
      <c r="AJ32" s="2"/>
      <c r="AK32" s="5">
        <v>30.0</v>
      </c>
      <c r="AL32" s="7"/>
      <c r="AM32" s="7"/>
      <c r="AN32" s="6">
        <f t="shared" si="7"/>
        <v>154.85</v>
      </c>
      <c r="AO32" s="2">
        <f t="shared" si="19"/>
        <v>33147.34</v>
      </c>
      <c r="AP32" s="2"/>
      <c r="AQ32" s="5">
        <v>30.0</v>
      </c>
      <c r="AR32" s="7"/>
      <c r="AS32" s="7"/>
      <c r="AT32" s="6">
        <f t="shared" si="8"/>
        <v>154.85</v>
      </c>
      <c r="AU32" s="2">
        <f t="shared" si="20"/>
        <v>37662.59</v>
      </c>
      <c r="AV32" s="2"/>
      <c r="AW32" s="5">
        <v>30.0</v>
      </c>
      <c r="AX32" s="7"/>
      <c r="AY32" s="7"/>
      <c r="AZ32" s="6">
        <f t="shared" si="9"/>
        <v>154.85</v>
      </c>
      <c r="BA32" s="2">
        <f t="shared" si="21"/>
        <v>42217.74</v>
      </c>
      <c r="BB32" s="2"/>
      <c r="BC32" s="5">
        <v>30.0</v>
      </c>
      <c r="BD32" s="7"/>
      <c r="BE32" s="7"/>
      <c r="BF32" s="6">
        <f t="shared" si="10"/>
        <v>154.85</v>
      </c>
      <c r="BG32" s="2">
        <f t="shared" si="22"/>
        <v>46772.89</v>
      </c>
      <c r="BH32" s="2"/>
      <c r="BI32" s="5">
        <v>30.0</v>
      </c>
      <c r="BJ32" s="7"/>
      <c r="BK32" s="7"/>
      <c r="BL32" s="6">
        <f t="shared" si="11"/>
        <v>154.85</v>
      </c>
      <c r="BM32" s="2">
        <f t="shared" si="23"/>
        <v>51495.05</v>
      </c>
      <c r="BN32" s="2"/>
      <c r="BO32" s="5">
        <v>30.0</v>
      </c>
      <c r="BP32" s="7"/>
      <c r="BQ32" s="7"/>
      <c r="BR32" s="6">
        <f t="shared" si="12"/>
        <v>154.85</v>
      </c>
      <c r="BS32" s="2">
        <f t="shared" si="24"/>
        <v>56217.21</v>
      </c>
    </row>
    <row r="33">
      <c r="A33" s="5">
        <v>31.0</v>
      </c>
      <c r="B33" s="7"/>
      <c r="C33" s="7"/>
      <c r="D33" s="6">
        <f t="shared" si="1"/>
        <v>154.85</v>
      </c>
      <c r="E33" s="2">
        <f t="shared" si="13"/>
        <v>7842.23</v>
      </c>
      <c r="F33" s="2"/>
      <c r="G33" s="5">
        <v>31.0</v>
      </c>
      <c r="H33" s="7"/>
      <c r="I33" s="7"/>
      <c r="J33" s="6">
        <f t="shared" si="2"/>
        <v>154.85</v>
      </c>
      <c r="K33" s="2">
        <f t="shared" si="14"/>
        <v>11750.92</v>
      </c>
      <c r="L33" s="2"/>
      <c r="M33" s="5">
        <v>31.0</v>
      </c>
      <c r="N33" s="7"/>
      <c r="O33" s="7"/>
      <c r="P33" s="6">
        <f t="shared" si="3"/>
        <v>154.85</v>
      </c>
      <c r="Q33" s="2">
        <f t="shared" si="15"/>
        <v>15699.35</v>
      </c>
      <c r="R33" s="2"/>
      <c r="S33" s="5">
        <v>31.0</v>
      </c>
      <c r="T33" s="7"/>
      <c r="U33" s="7"/>
      <c r="V33" s="6">
        <f t="shared" si="4"/>
        <v>154.85</v>
      </c>
      <c r="W33" s="2">
        <f t="shared" si="16"/>
        <v>19727.77</v>
      </c>
      <c r="X33" s="2"/>
      <c r="Y33" s="5">
        <v>31.0</v>
      </c>
      <c r="Z33" s="7"/>
      <c r="AA33" s="7"/>
      <c r="AB33" s="6">
        <f t="shared" si="5"/>
        <v>154.85</v>
      </c>
      <c r="AC33" s="2">
        <f t="shared" si="17"/>
        <v>24089.35</v>
      </c>
      <c r="AD33" s="2"/>
      <c r="AE33" s="5">
        <v>31.0</v>
      </c>
      <c r="AF33" s="7"/>
      <c r="AG33" s="7"/>
      <c r="AH33" s="6">
        <f t="shared" si="6"/>
        <v>154.85</v>
      </c>
      <c r="AI33" s="2">
        <f t="shared" si="18"/>
        <v>28540.92</v>
      </c>
      <c r="AJ33" s="2"/>
      <c r="AK33" s="5">
        <v>31.0</v>
      </c>
      <c r="AL33" s="7"/>
      <c r="AM33" s="7"/>
      <c r="AN33" s="6">
        <f t="shared" si="7"/>
        <v>154.85</v>
      </c>
      <c r="AO33" s="2">
        <f t="shared" si="19"/>
        <v>32992.49</v>
      </c>
      <c r="AP33" s="2"/>
      <c r="AQ33" s="5">
        <v>31.0</v>
      </c>
      <c r="AR33" s="7"/>
      <c r="AS33" s="7"/>
      <c r="AT33" s="6">
        <f t="shared" si="8"/>
        <v>154.85</v>
      </c>
      <c r="AU33" s="2">
        <f t="shared" si="20"/>
        <v>37507.74</v>
      </c>
      <c r="AV33" s="2"/>
      <c r="AW33" s="5">
        <v>31.0</v>
      </c>
      <c r="AX33" s="7"/>
      <c r="AY33" s="7"/>
      <c r="AZ33" s="6">
        <f t="shared" si="9"/>
        <v>154.85</v>
      </c>
      <c r="BA33" s="2">
        <f t="shared" si="21"/>
        <v>42062.89</v>
      </c>
      <c r="BB33" s="2"/>
      <c r="BC33" s="5">
        <v>31.0</v>
      </c>
      <c r="BD33" s="7"/>
      <c r="BE33" s="7"/>
      <c r="BF33" s="6">
        <f t="shared" si="10"/>
        <v>154.85</v>
      </c>
      <c r="BG33" s="2">
        <f t="shared" si="22"/>
        <v>46618.04</v>
      </c>
      <c r="BH33" s="2"/>
      <c r="BI33" s="5">
        <v>31.0</v>
      </c>
      <c r="BJ33" s="7"/>
      <c r="BK33" s="7"/>
      <c r="BL33" s="6">
        <f t="shared" si="11"/>
        <v>154.85</v>
      </c>
      <c r="BM33" s="2">
        <f t="shared" si="23"/>
        <v>51340.2</v>
      </c>
      <c r="BN33" s="2"/>
      <c r="BO33" s="5">
        <v>31.0</v>
      </c>
      <c r="BP33" s="7"/>
      <c r="BQ33" s="7"/>
      <c r="BR33" s="6">
        <f t="shared" si="12"/>
        <v>154.85</v>
      </c>
      <c r="BS33" s="2">
        <f t="shared" si="24"/>
        <v>56062.36</v>
      </c>
    </row>
    <row r="34">
      <c r="A34" s="11"/>
      <c r="B34" s="2"/>
      <c r="C34" s="2"/>
      <c r="D34" s="2"/>
      <c r="E34" s="2"/>
      <c r="F34" s="2"/>
      <c r="G34" s="2"/>
      <c r="H34" s="2"/>
      <c r="I34" s="2"/>
      <c r="J34" s="2"/>
      <c r="K34" s="8"/>
      <c r="L34" s="2"/>
      <c r="M34" s="11"/>
      <c r="N34" s="2"/>
      <c r="O34" s="2"/>
      <c r="P34" s="2"/>
      <c r="Q34" s="8"/>
      <c r="R34" s="2"/>
      <c r="S34" s="11"/>
      <c r="T34" s="2"/>
      <c r="U34" s="2"/>
      <c r="V34" s="2"/>
      <c r="W34" s="2"/>
      <c r="X34" s="2"/>
      <c r="Y34" s="11"/>
      <c r="Z34" s="2"/>
      <c r="AA34" s="2"/>
      <c r="AB34" s="2"/>
      <c r="AC34" s="2"/>
      <c r="AD34" s="2"/>
      <c r="AE34" s="11"/>
      <c r="AF34" s="2"/>
      <c r="AG34" s="2"/>
      <c r="AH34" s="2"/>
      <c r="AI34" s="2"/>
      <c r="AJ34" s="2"/>
      <c r="AK34" s="11"/>
      <c r="AL34" s="2"/>
      <c r="AM34" s="2"/>
      <c r="AN34" s="2"/>
      <c r="AO34" s="2"/>
      <c r="AP34" s="2"/>
      <c r="AQ34" s="11"/>
      <c r="AR34" s="2"/>
      <c r="AS34" s="2"/>
      <c r="AT34" s="2"/>
      <c r="AU34" s="2"/>
      <c r="AV34" s="2"/>
      <c r="AW34" s="11"/>
      <c r="AX34" s="2"/>
      <c r="AY34" s="2"/>
      <c r="AZ34" s="2"/>
      <c r="BA34" s="2"/>
      <c r="BB34" s="2"/>
      <c r="BC34" s="11"/>
      <c r="BD34" s="2"/>
      <c r="BE34" s="2"/>
      <c r="BF34" s="2"/>
      <c r="BG34" s="2"/>
      <c r="BH34" s="2"/>
      <c r="BI34" s="11"/>
      <c r="BJ34" s="2"/>
      <c r="BK34" s="2"/>
      <c r="BL34" s="2"/>
      <c r="BM34" s="2"/>
      <c r="BN34" s="2"/>
      <c r="BO34" s="11"/>
      <c r="BP34" s="2"/>
      <c r="BQ34" s="2"/>
      <c r="BR34" s="2"/>
      <c r="BS34" s="2"/>
    </row>
    <row r="35">
      <c r="A35" s="11"/>
      <c r="B35" s="4"/>
      <c r="C35" s="4"/>
      <c r="D35" s="4"/>
      <c r="E35" s="2"/>
      <c r="F35" s="2"/>
      <c r="G35" s="11"/>
      <c r="H35" s="4"/>
      <c r="I35" s="4"/>
      <c r="J35" s="4"/>
      <c r="K35" s="4"/>
      <c r="L35" s="2"/>
      <c r="M35" s="11"/>
      <c r="N35" s="4"/>
      <c r="O35" s="4"/>
      <c r="P35" s="4"/>
      <c r="Q35" s="4"/>
      <c r="R35" s="2"/>
      <c r="S35" s="11"/>
      <c r="T35" s="4"/>
      <c r="U35" s="4"/>
      <c r="V35" s="4"/>
      <c r="W35" s="4"/>
      <c r="X35" s="2"/>
      <c r="Y35" s="11"/>
      <c r="Z35" s="4"/>
      <c r="AA35" s="4"/>
      <c r="AB35" s="4"/>
      <c r="AC35" s="4"/>
      <c r="AD35" s="2"/>
      <c r="AE35" s="11"/>
      <c r="AF35" s="4"/>
      <c r="AG35" s="4"/>
      <c r="AH35" s="4"/>
      <c r="AI35" s="4"/>
      <c r="AJ35" s="2"/>
      <c r="AK35" s="11"/>
      <c r="AL35" s="4"/>
      <c r="AM35" s="4"/>
      <c r="AN35" s="4"/>
      <c r="AO35" s="4"/>
      <c r="AP35" s="2"/>
      <c r="AQ35" s="11"/>
      <c r="AR35" s="4"/>
      <c r="AS35" s="4"/>
      <c r="AT35" s="4"/>
      <c r="AU35" s="4"/>
      <c r="AV35" s="2"/>
      <c r="AW35" s="11"/>
      <c r="AX35" s="4"/>
      <c r="AY35" s="4"/>
      <c r="AZ35" s="4"/>
      <c r="BA35" s="4"/>
      <c r="BB35" s="2"/>
      <c r="BC35" s="11"/>
      <c r="BD35" s="4"/>
      <c r="BE35" s="4"/>
      <c r="BF35" s="4"/>
      <c r="BG35" s="4"/>
      <c r="BH35" s="2"/>
      <c r="BI35" s="11"/>
      <c r="BJ35" s="4"/>
      <c r="BK35" s="4"/>
      <c r="BL35" s="4"/>
      <c r="BM35" s="4"/>
      <c r="BN35" s="2"/>
      <c r="BO35" s="11"/>
      <c r="BP35" s="4"/>
      <c r="BQ35" s="4"/>
      <c r="BR35" s="4"/>
      <c r="BS35" s="4"/>
    </row>
    <row r="36">
      <c r="A36" s="11"/>
      <c r="B36" s="4"/>
      <c r="C36" s="4"/>
      <c r="D36" s="4"/>
      <c r="E36" s="4"/>
      <c r="F36" s="2"/>
      <c r="G36" s="11"/>
      <c r="H36" s="4"/>
      <c r="I36" s="4"/>
      <c r="J36" s="4"/>
      <c r="K36" s="4"/>
      <c r="L36" s="2"/>
      <c r="M36" s="11"/>
      <c r="N36" s="4"/>
      <c r="O36" s="4"/>
      <c r="P36" s="4"/>
      <c r="Q36" s="4"/>
      <c r="R36" s="2"/>
      <c r="S36" s="11"/>
      <c r="T36" s="4"/>
      <c r="U36" s="4"/>
      <c r="V36" s="4"/>
      <c r="W36" s="4"/>
      <c r="X36" s="2"/>
      <c r="Y36" s="11"/>
      <c r="Z36" s="4"/>
      <c r="AA36" s="4"/>
      <c r="AB36" s="4"/>
      <c r="AC36" s="4"/>
      <c r="AD36" s="2"/>
      <c r="AE36" s="11"/>
      <c r="AF36" s="4"/>
      <c r="AG36" s="4"/>
      <c r="AH36" s="4"/>
      <c r="AI36" s="4"/>
      <c r="AJ36" s="2"/>
      <c r="AK36" s="11"/>
      <c r="AL36" s="4"/>
      <c r="AM36" s="4"/>
      <c r="AN36" s="4"/>
      <c r="AO36" s="4"/>
      <c r="AP36" s="2"/>
      <c r="AQ36" s="11"/>
      <c r="AR36" s="4"/>
      <c r="AS36" s="4"/>
      <c r="AT36" s="4"/>
      <c r="AU36" s="4"/>
      <c r="AV36" s="2"/>
      <c r="AW36" s="11"/>
      <c r="AX36" s="4"/>
      <c r="AY36" s="4"/>
      <c r="AZ36" s="4"/>
      <c r="BA36" s="4"/>
      <c r="BB36" s="2"/>
      <c r="BC36" s="11"/>
      <c r="BD36" s="4"/>
      <c r="BE36" s="4"/>
      <c r="BF36" s="4"/>
      <c r="BG36" s="4"/>
      <c r="BH36" s="2"/>
      <c r="BI36" s="11"/>
      <c r="BJ36" s="4"/>
      <c r="BK36" s="4"/>
      <c r="BL36" s="4"/>
      <c r="BM36" s="4"/>
      <c r="BN36" s="2"/>
      <c r="BO36" s="11"/>
      <c r="BP36" s="4"/>
      <c r="BQ36" s="4"/>
      <c r="BR36" s="4"/>
      <c r="BS36" s="4"/>
    </row>
    <row r="37">
      <c r="A37" s="11"/>
      <c r="B37" s="12" t="s">
        <v>17</v>
      </c>
      <c r="C37" s="12" t="s">
        <v>18</v>
      </c>
      <c r="D37" s="13" t="s">
        <v>19</v>
      </c>
      <c r="E37" s="12"/>
      <c r="F37" s="2"/>
      <c r="G37" s="11"/>
      <c r="H37" s="12" t="s">
        <v>17</v>
      </c>
      <c r="I37" s="12" t="s">
        <v>18</v>
      </c>
      <c r="J37" s="13" t="s">
        <v>19</v>
      </c>
      <c r="K37" s="12"/>
      <c r="L37" s="2"/>
      <c r="M37" s="11"/>
      <c r="N37" s="12" t="s">
        <v>17</v>
      </c>
      <c r="O37" s="12" t="s">
        <v>18</v>
      </c>
      <c r="P37" s="13" t="s">
        <v>19</v>
      </c>
      <c r="Q37" s="12"/>
      <c r="R37" s="2"/>
      <c r="S37" s="11"/>
      <c r="T37" s="12" t="s">
        <v>17</v>
      </c>
      <c r="U37" s="12" t="s">
        <v>18</v>
      </c>
      <c r="V37" s="13" t="s">
        <v>19</v>
      </c>
      <c r="W37" s="12"/>
      <c r="X37" s="2"/>
      <c r="Y37" s="11"/>
      <c r="Z37" s="12" t="s">
        <v>17</v>
      </c>
      <c r="AA37" s="12" t="s">
        <v>18</v>
      </c>
      <c r="AB37" s="13" t="s">
        <v>19</v>
      </c>
      <c r="AC37" s="12"/>
      <c r="AD37" s="2"/>
      <c r="AE37" s="11"/>
      <c r="AF37" s="12" t="s">
        <v>17</v>
      </c>
      <c r="AG37" s="12" t="s">
        <v>18</v>
      </c>
      <c r="AH37" s="13" t="s">
        <v>19</v>
      </c>
      <c r="AI37" s="12"/>
      <c r="AJ37" s="2"/>
      <c r="AK37" s="11"/>
      <c r="AL37" s="12" t="s">
        <v>17</v>
      </c>
      <c r="AM37" s="12" t="s">
        <v>18</v>
      </c>
      <c r="AN37" s="13" t="s">
        <v>19</v>
      </c>
      <c r="AO37" s="12"/>
      <c r="AP37" s="2"/>
      <c r="AQ37" s="11"/>
      <c r="AR37" s="12" t="s">
        <v>17</v>
      </c>
      <c r="AS37" s="12" t="s">
        <v>18</v>
      </c>
      <c r="AT37" s="13" t="s">
        <v>19</v>
      </c>
      <c r="AU37" s="12"/>
      <c r="AV37" s="2"/>
      <c r="AW37" s="11"/>
      <c r="AX37" s="12" t="s">
        <v>17</v>
      </c>
      <c r="AY37" s="12" t="s">
        <v>18</v>
      </c>
      <c r="AZ37" s="13" t="s">
        <v>19</v>
      </c>
      <c r="BA37" s="12"/>
      <c r="BB37" s="2"/>
      <c r="BC37" s="11"/>
      <c r="BD37" s="12" t="s">
        <v>17</v>
      </c>
      <c r="BE37" s="12" t="s">
        <v>18</v>
      </c>
      <c r="BF37" s="13" t="s">
        <v>19</v>
      </c>
      <c r="BG37" s="12"/>
      <c r="BH37" s="2"/>
      <c r="BI37" s="11"/>
      <c r="BJ37" s="12" t="s">
        <v>17</v>
      </c>
      <c r="BK37" s="12" t="s">
        <v>18</v>
      </c>
      <c r="BL37" s="13" t="s">
        <v>19</v>
      </c>
      <c r="BM37" s="12"/>
      <c r="BN37" s="2"/>
      <c r="BO37" s="11"/>
      <c r="BP37" s="12" t="s">
        <v>17</v>
      </c>
      <c r="BQ37" s="12" t="s">
        <v>18</v>
      </c>
      <c r="BR37" s="13" t="s">
        <v>19</v>
      </c>
      <c r="BS37" s="12"/>
    </row>
    <row r="38">
      <c r="A38" s="11"/>
      <c r="B38" s="14">
        <f t="shared" ref="B38:D38" si="25">SUM(B3:B33)</f>
        <v>17800</v>
      </c>
      <c r="C38" s="14">
        <f t="shared" si="25"/>
        <v>9330.96</v>
      </c>
      <c r="D38" s="15">
        <f t="shared" si="25"/>
        <v>4800.35</v>
      </c>
      <c r="E38" s="14" t="str">
        <f>E34</f>
        <v/>
      </c>
      <c r="F38" s="2"/>
      <c r="G38" s="11"/>
      <c r="H38" s="14">
        <f t="shared" ref="H38:J38" si="26">SUM(H3:H33)</f>
        <v>17800</v>
      </c>
      <c r="I38" s="14">
        <f t="shared" si="26"/>
        <v>9090.96</v>
      </c>
      <c r="J38" s="15">
        <f t="shared" si="26"/>
        <v>4800.35</v>
      </c>
      <c r="K38" s="14" t="str">
        <f>K34</f>
        <v/>
      </c>
      <c r="L38" s="2"/>
      <c r="M38" s="11"/>
      <c r="N38" s="14">
        <f t="shared" ref="N38:P38" si="27">SUM(N3:N33)</f>
        <v>17800</v>
      </c>
      <c r="O38" s="14">
        <f t="shared" si="27"/>
        <v>9051.22</v>
      </c>
      <c r="P38" s="15">
        <f t="shared" si="27"/>
        <v>4800.35</v>
      </c>
      <c r="Q38" s="14" t="str">
        <f>Q34</f>
        <v/>
      </c>
      <c r="R38" s="2"/>
      <c r="S38" s="11"/>
      <c r="T38" s="14">
        <f t="shared" ref="T38:V38" si="28">SUM(T3:T33)</f>
        <v>17800</v>
      </c>
      <c r="U38" s="14">
        <f t="shared" si="28"/>
        <v>8971.23</v>
      </c>
      <c r="V38" s="15">
        <f t="shared" si="28"/>
        <v>4800.35</v>
      </c>
      <c r="W38" s="14" t="str">
        <f>W34</f>
        <v/>
      </c>
      <c r="X38" s="2"/>
      <c r="Y38" s="11"/>
      <c r="Z38" s="14">
        <f t="shared" ref="Z38:AB38" si="29">SUM(Z3:Z33)</f>
        <v>17800</v>
      </c>
      <c r="AA38" s="14">
        <f t="shared" si="29"/>
        <v>8638.07</v>
      </c>
      <c r="AB38" s="15">
        <f t="shared" si="29"/>
        <v>4800.35</v>
      </c>
      <c r="AC38" s="14" t="str">
        <f>AC34</f>
        <v/>
      </c>
      <c r="AD38" s="2"/>
      <c r="AE38" s="11"/>
      <c r="AF38" s="14">
        <f t="shared" ref="AF38:AH38" si="30">SUM(AF3:AF33)</f>
        <v>17800</v>
      </c>
      <c r="AG38" s="14">
        <f t="shared" si="30"/>
        <v>8548.08</v>
      </c>
      <c r="AH38" s="15">
        <f t="shared" si="30"/>
        <v>4800.35</v>
      </c>
      <c r="AI38" s="14" t="str">
        <f>AI34</f>
        <v/>
      </c>
      <c r="AJ38" s="2"/>
      <c r="AK38" s="11"/>
      <c r="AL38" s="14">
        <f t="shared" ref="AL38:AN38" si="31">SUM(AL3:AL33)</f>
        <v>17800</v>
      </c>
      <c r="AM38" s="14">
        <f t="shared" si="31"/>
        <v>8548.08</v>
      </c>
      <c r="AN38" s="15">
        <f t="shared" si="31"/>
        <v>4800.35</v>
      </c>
      <c r="AO38" s="14" t="str">
        <f>AO34</f>
        <v/>
      </c>
      <c r="AP38" s="2"/>
      <c r="AQ38" s="11"/>
      <c r="AR38" s="14">
        <f t="shared" ref="AR38:AT38" si="32">SUM(AR3:AR33)</f>
        <v>17800</v>
      </c>
      <c r="AS38" s="14">
        <f t="shared" si="32"/>
        <v>8484.4</v>
      </c>
      <c r="AT38" s="15">
        <f t="shared" si="32"/>
        <v>4800.35</v>
      </c>
      <c r="AU38" s="14" t="str">
        <f>AU34</f>
        <v/>
      </c>
      <c r="AV38" s="2"/>
      <c r="AW38" s="11"/>
      <c r="AX38" s="14">
        <f t="shared" ref="AX38:AZ38" si="33">SUM(AX3:AX33)</f>
        <v>17800</v>
      </c>
      <c r="AY38" s="14">
        <f t="shared" si="33"/>
        <v>8444.5</v>
      </c>
      <c r="AZ38" s="15">
        <f t="shared" si="33"/>
        <v>4800.35</v>
      </c>
      <c r="BA38" s="14" t="str">
        <f>BA34</f>
        <v/>
      </c>
      <c r="BB38" s="2"/>
      <c r="BC38" s="11"/>
      <c r="BD38" s="14">
        <f t="shared" ref="BD38:BF38" si="34">SUM(BD3:BD33)</f>
        <v>17800</v>
      </c>
      <c r="BE38" s="14">
        <f t="shared" si="34"/>
        <v>8444.5</v>
      </c>
      <c r="BF38" s="15">
        <f t="shared" si="34"/>
        <v>4800.35</v>
      </c>
      <c r="BG38" s="14" t="str">
        <f>BG34</f>
        <v/>
      </c>
      <c r="BH38" s="2"/>
      <c r="BI38" s="11"/>
      <c r="BJ38" s="14">
        <f t="shared" ref="BJ38:BL38" si="35">SUM(BJ3:BJ33)</f>
        <v>17800</v>
      </c>
      <c r="BK38" s="14">
        <f t="shared" si="35"/>
        <v>8277.49</v>
      </c>
      <c r="BL38" s="15">
        <f t="shared" si="35"/>
        <v>4800.35</v>
      </c>
      <c r="BM38" s="14" t="str">
        <f>BM34</f>
        <v/>
      </c>
      <c r="BN38" s="2"/>
      <c r="BO38" s="11"/>
      <c r="BP38" s="14">
        <f t="shared" ref="BP38:BR38" si="36">SUM(BP3:BP33)</f>
        <v>17800</v>
      </c>
      <c r="BQ38" s="14">
        <f t="shared" si="36"/>
        <v>8277.49</v>
      </c>
      <c r="BR38" s="15">
        <f t="shared" si="36"/>
        <v>4800.35</v>
      </c>
      <c r="BS38" s="14" t="str">
        <f>BS34</f>
        <v/>
      </c>
    </row>
    <row r="39">
      <c r="A39" s="11"/>
      <c r="B39" s="14"/>
      <c r="C39" s="14"/>
      <c r="D39" s="15"/>
      <c r="E39" s="14"/>
      <c r="F39" s="2"/>
      <c r="G39" s="11"/>
      <c r="H39" s="14"/>
      <c r="I39" s="14"/>
      <c r="J39" s="15"/>
      <c r="K39" s="14"/>
      <c r="L39" s="2"/>
      <c r="M39" s="11"/>
      <c r="N39" s="14"/>
      <c r="O39" s="14"/>
      <c r="P39" s="15"/>
      <c r="Q39" s="14"/>
      <c r="R39" s="2"/>
      <c r="S39" s="11"/>
      <c r="T39" s="14"/>
      <c r="U39" s="14"/>
      <c r="V39" s="15"/>
      <c r="W39" s="14"/>
      <c r="X39" s="2"/>
      <c r="Y39" s="11"/>
      <c r="Z39" s="14"/>
      <c r="AA39" s="14"/>
      <c r="AB39" s="15"/>
      <c r="AC39" s="14"/>
      <c r="AD39" s="2"/>
      <c r="AE39" s="11"/>
      <c r="AF39" s="14"/>
      <c r="AG39" s="14"/>
      <c r="AH39" s="15"/>
      <c r="AI39" s="14"/>
      <c r="AJ39" s="2"/>
      <c r="AK39" s="11"/>
      <c r="AL39" s="14"/>
      <c r="AM39" s="14"/>
      <c r="AN39" s="15"/>
      <c r="AO39" s="14"/>
      <c r="AP39" s="2"/>
      <c r="AQ39" s="11"/>
      <c r="AR39" s="14"/>
      <c r="AS39" s="14"/>
      <c r="AT39" s="15"/>
      <c r="AU39" s="14"/>
      <c r="AV39" s="2"/>
      <c r="AW39" s="11"/>
      <c r="AX39" s="14"/>
      <c r="AY39" s="14"/>
      <c r="AZ39" s="15"/>
      <c r="BA39" s="14"/>
      <c r="BB39" s="2"/>
      <c r="BC39" s="11"/>
      <c r="BD39" s="14"/>
      <c r="BE39" s="14"/>
      <c r="BF39" s="15"/>
      <c r="BG39" s="14"/>
      <c r="BH39" s="2"/>
      <c r="BI39" s="11"/>
      <c r="BJ39" s="14"/>
      <c r="BK39" s="14"/>
      <c r="BL39" s="15"/>
      <c r="BM39" s="14"/>
      <c r="BN39" s="2"/>
      <c r="BO39" s="11"/>
      <c r="BP39" s="14"/>
      <c r="BQ39" s="14"/>
      <c r="BR39" s="15"/>
      <c r="BS39" s="14"/>
    </row>
    <row r="40">
      <c r="A40" s="11"/>
      <c r="B40" s="14"/>
      <c r="C40" s="12"/>
      <c r="D40" s="13" t="s">
        <v>20</v>
      </c>
      <c r="E40" s="14"/>
      <c r="F40" s="2"/>
      <c r="G40" s="2"/>
      <c r="H40" s="14"/>
      <c r="I40" s="12"/>
      <c r="J40" s="13" t="s">
        <v>20</v>
      </c>
      <c r="K40" s="14"/>
      <c r="L40" s="2"/>
      <c r="M40" s="11"/>
      <c r="N40" s="14"/>
      <c r="O40" s="12"/>
      <c r="P40" s="13" t="s">
        <v>20</v>
      </c>
      <c r="Q40" s="14"/>
      <c r="R40" s="2"/>
      <c r="S40" s="11"/>
      <c r="T40" s="14"/>
      <c r="U40" s="12"/>
      <c r="V40" s="13" t="s">
        <v>20</v>
      </c>
      <c r="W40" s="14"/>
      <c r="X40" s="2"/>
      <c r="Y40" s="11"/>
      <c r="Z40" s="14"/>
      <c r="AA40" s="12"/>
      <c r="AB40" s="13" t="s">
        <v>20</v>
      </c>
      <c r="AC40" s="14"/>
      <c r="AD40" s="2"/>
      <c r="AE40" s="11"/>
      <c r="AF40" s="14"/>
      <c r="AG40" s="12"/>
      <c r="AH40" s="13" t="s">
        <v>20</v>
      </c>
      <c r="AI40" s="14"/>
      <c r="AJ40" s="2"/>
      <c r="AK40" s="11"/>
      <c r="AL40" s="14"/>
      <c r="AM40" s="12"/>
      <c r="AN40" s="13" t="s">
        <v>20</v>
      </c>
      <c r="AO40" s="14"/>
      <c r="AP40" s="2"/>
      <c r="AQ40" s="11"/>
      <c r="AR40" s="14"/>
      <c r="AS40" s="12"/>
      <c r="AT40" s="13" t="s">
        <v>20</v>
      </c>
      <c r="AU40" s="14"/>
      <c r="AV40" s="2"/>
      <c r="AW40" s="11"/>
      <c r="AX40" s="14"/>
      <c r="AY40" s="12"/>
      <c r="AZ40" s="13" t="s">
        <v>20</v>
      </c>
      <c r="BA40" s="14"/>
      <c r="BB40" s="2"/>
      <c r="BC40" s="11"/>
      <c r="BD40" s="14"/>
      <c r="BE40" s="12"/>
      <c r="BF40" s="13" t="s">
        <v>20</v>
      </c>
      <c r="BG40" s="14"/>
      <c r="BH40" s="2"/>
      <c r="BI40" s="11"/>
      <c r="BJ40" s="14"/>
      <c r="BK40" s="12"/>
      <c r="BL40" s="13" t="s">
        <v>20</v>
      </c>
      <c r="BM40" s="14"/>
      <c r="BN40" s="2"/>
      <c r="BO40" s="11"/>
      <c r="BP40" s="14"/>
      <c r="BQ40" s="12"/>
      <c r="BR40" s="13" t="s">
        <v>20</v>
      </c>
      <c r="BS40" s="14"/>
    </row>
    <row r="41">
      <c r="A41" s="11"/>
      <c r="B41" s="14"/>
      <c r="C41" s="12"/>
      <c r="D41" s="15">
        <f>C38+D38</f>
        <v>14131.31</v>
      </c>
      <c r="E41" s="14"/>
      <c r="F41" s="2"/>
      <c r="G41" s="2"/>
      <c r="H41" s="14"/>
      <c r="I41" s="12"/>
      <c r="J41" s="15">
        <f>I38+J38</f>
        <v>13891.31</v>
      </c>
      <c r="K41" s="14"/>
      <c r="L41" s="2"/>
      <c r="M41" s="11"/>
      <c r="N41" s="14"/>
      <c r="O41" s="12"/>
      <c r="P41" s="15">
        <f>O38+P38</f>
        <v>13851.57</v>
      </c>
      <c r="Q41" s="14"/>
      <c r="R41" s="2"/>
      <c r="S41" s="11"/>
      <c r="T41" s="14"/>
      <c r="U41" s="12"/>
      <c r="V41" s="15">
        <f>U38+V38</f>
        <v>13771.58</v>
      </c>
      <c r="W41" s="14"/>
      <c r="X41" s="2"/>
      <c r="Y41" s="11"/>
      <c r="Z41" s="14"/>
      <c r="AA41" s="12"/>
      <c r="AB41" s="15">
        <f>AA38+AB38</f>
        <v>13438.42</v>
      </c>
      <c r="AC41" s="14"/>
      <c r="AD41" s="2"/>
      <c r="AE41" s="11"/>
      <c r="AF41" s="14"/>
      <c r="AG41" s="12"/>
      <c r="AH41" s="15">
        <f>AG38+AH38</f>
        <v>13348.43</v>
      </c>
      <c r="AI41" s="14"/>
      <c r="AJ41" s="2"/>
      <c r="AK41" s="11"/>
      <c r="AL41" s="14"/>
      <c r="AM41" s="12"/>
      <c r="AN41" s="15">
        <f>AM38+AN38</f>
        <v>13348.43</v>
      </c>
      <c r="AO41" s="14"/>
      <c r="AP41" s="2"/>
      <c r="AQ41" s="11"/>
      <c r="AR41" s="14"/>
      <c r="AS41" s="12"/>
      <c r="AT41" s="15">
        <f>AS38+AT38</f>
        <v>13284.75</v>
      </c>
      <c r="AU41" s="14"/>
      <c r="AV41" s="2"/>
      <c r="AW41" s="11"/>
      <c r="AX41" s="14"/>
      <c r="AY41" s="12"/>
      <c r="AZ41" s="15">
        <f>AY38+AZ38</f>
        <v>13244.85</v>
      </c>
      <c r="BA41" s="14"/>
      <c r="BB41" s="2"/>
      <c r="BC41" s="11"/>
      <c r="BD41" s="14"/>
      <c r="BE41" s="12"/>
      <c r="BF41" s="15">
        <f>BE38+BF38</f>
        <v>13244.85</v>
      </c>
      <c r="BG41" s="14"/>
      <c r="BH41" s="2"/>
      <c r="BI41" s="11"/>
      <c r="BJ41" s="14"/>
      <c r="BK41" s="12"/>
      <c r="BL41" s="15">
        <f>BK38+BL38</f>
        <v>13077.84</v>
      </c>
      <c r="BM41" s="14"/>
      <c r="BN41" s="2"/>
      <c r="BO41" s="11"/>
      <c r="BP41" s="14"/>
      <c r="BQ41" s="12"/>
      <c r="BR41" s="15">
        <f>BQ38+BR38</f>
        <v>13077.84</v>
      </c>
      <c r="BS41" s="14"/>
    </row>
    <row r="42">
      <c r="A42" s="11"/>
      <c r="B42" s="14"/>
      <c r="C42" s="12"/>
      <c r="D42" s="15"/>
      <c r="E42" s="14"/>
      <c r="F42" s="2"/>
      <c r="G42" s="2"/>
      <c r="H42" s="14"/>
      <c r="I42" s="12"/>
      <c r="J42" s="15"/>
      <c r="K42" s="14"/>
      <c r="L42" s="2"/>
      <c r="M42" s="11"/>
      <c r="N42" s="14"/>
      <c r="O42" s="12"/>
      <c r="P42" s="15"/>
      <c r="Q42" s="14"/>
      <c r="R42" s="2"/>
      <c r="S42" s="11"/>
      <c r="T42" s="14"/>
      <c r="U42" s="12"/>
      <c r="V42" s="15"/>
      <c r="W42" s="14"/>
      <c r="X42" s="2"/>
      <c r="Y42" s="11"/>
      <c r="Z42" s="14"/>
      <c r="AA42" s="12"/>
      <c r="AB42" s="15"/>
      <c r="AC42" s="14"/>
      <c r="AD42" s="2"/>
      <c r="AE42" s="11"/>
      <c r="AF42" s="14"/>
      <c r="AG42" s="12"/>
      <c r="AH42" s="15"/>
      <c r="AI42" s="14"/>
      <c r="AJ42" s="2"/>
      <c r="AK42" s="11"/>
      <c r="AL42" s="14"/>
      <c r="AM42" s="12"/>
      <c r="AN42" s="15"/>
      <c r="AO42" s="14"/>
      <c r="AP42" s="2"/>
      <c r="AQ42" s="11"/>
      <c r="AR42" s="14"/>
      <c r="AS42" s="12"/>
      <c r="AT42" s="15"/>
      <c r="AU42" s="14"/>
      <c r="AV42" s="2"/>
      <c r="AW42" s="11"/>
      <c r="AX42" s="14"/>
      <c r="AY42" s="12"/>
      <c r="AZ42" s="15"/>
      <c r="BA42" s="14"/>
      <c r="BB42" s="2"/>
      <c r="BC42" s="11"/>
      <c r="BD42" s="14"/>
      <c r="BE42" s="12"/>
      <c r="BF42" s="15"/>
      <c r="BG42" s="14"/>
      <c r="BH42" s="2"/>
      <c r="BI42" s="11"/>
      <c r="BJ42" s="14"/>
      <c r="BK42" s="12"/>
      <c r="BL42" s="15"/>
      <c r="BM42" s="14"/>
      <c r="BN42" s="2"/>
      <c r="BO42" s="11"/>
      <c r="BP42" s="14"/>
      <c r="BQ42" s="12"/>
      <c r="BR42" s="15"/>
      <c r="BS42" s="14"/>
    </row>
    <row r="43">
      <c r="A43" s="11"/>
      <c r="B43" s="14"/>
      <c r="C43" s="12"/>
      <c r="D43" s="13" t="s">
        <v>21</v>
      </c>
      <c r="E43" s="14"/>
      <c r="F43" s="2"/>
      <c r="G43" s="2"/>
      <c r="H43" s="14"/>
      <c r="I43" s="12"/>
      <c r="J43" s="13" t="s">
        <v>21</v>
      </c>
      <c r="K43" s="14"/>
      <c r="L43" s="2"/>
      <c r="M43" s="11"/>
      <c r="N43" s="14"/>
      <c r="O43" s="12"/>
      <c r="P43" s="13" t="s">
        <v>21</v>
      </c>
      <c r="Q43" s="14"/>
      <c r="R43" s="2"/>
      <c r="S43" s="11"/>
      <c r="T43" s="14"/>
      <c r="U43" s="12"/>
      <c r="V43" s="13" t="s">
        <v>21</v>
      </c>
      <c r="W43" s="14"/>
      <c r="X43" s="2"/>
      <c r="Y43" s="11"/>
      <c r="Z43" s="14"/>
      <c r="AA43" s="12"/>
      <c r="AB43" s="13" t="s">
        <v>21</v>
      </c>
      <c r="AC43" s="14"/>
      <c r="AD43" s="2"/>
      <c r="AE43" s="11"/>
      <c r="AF43" s="14"/>
      <c r="AG43" s="12"/>
      <c r="AH43" s="13" t="s">
        <v>21</v>
      </c>
      <c r="AI43" s="14"/>
      <c r="AJ43" s="2"/>
      <c r="AK43" s="11"/>
      <c r="AL43" s="14"/>
      <c r="AM43" s="12"/>
      <c r="AN43" s="13" t="s">
        <v>21</v>
      </c>
      <c r="AO43" s="14"/>
      <c r="AP43" s="2"/>
      <c r="AQ43" s="11"/>
      <c r="AR43" s="14"/>
      <c r="AS43" s="12"/>
      <c r="AT43" s="13" t="s">
        <v>21</v>
      </c>
      <c r="AU43" s="14"/>
      <c r="AV43" s="2"/>
      <c r="AW43" s="11"/>
      <c r="AX43" s="14"/>
      <c r="AY43" s="12"/>
      <c r="AZ43" s="13" t="s">
        <v>21</v>
      </c>
      <c r="BA43" s="14"/>
      <c r="BB43" s="2"/>
      <c r="BC43" s="11"/>
      <c r="BD43" s="14"/>
      <c r="BE43" s="12"/>
      <c r="BF43" s="13" t="s">
        <v>21</v>
      </c>
      <c r="BG43" s="14"/>
      <c r="BH43" s="2"/>
      <c r="BI43" s="11"/>
      <c r="BJ43" s="14"/>
      <c r="BK43" s="12"/>
      <c r="BL43" s="13" t="s">
        <v>21</v>
      </c>
      <c r="BM43" s="14"/>
      <c r="BN43" s="2"/>
      <c r="BO43" s="11"/>
      <c r="BP43" s="14"/>
      <c r="BQ43" s="12"/>
      <c r="BR43" s="13" t="s">
        <v>21</v>
      </c>
      <c r="BS43" s="14"/>
    </row>
    <row r="44">
      <c r="A44" s="11"/>
      <c r="B44" s="14"/>
      <c r="C44" s="12"/>
      <c r="D44" s="15">
        <f>B38-D41</f>
        <v>3668.69</v>
      </c>
      <c r="E44" s="14"/>
      <c r="F44" s="2"/>
      <c r="G44" s="2"/>
      <c r="H44" s="14"/>
      <c r="I44" s="12"/>
      <c r="J44" s="15">
        <f>H38-J41</f>
        <v>3908.69</v>
      </c>
      <c r="K44" s="14"/>
      <c r="L44" s="2"/>
      <c r="M44" s="11"/>
      <c r="N44" s="14"/>
      <c r="O44" s="12"/>
      <c r="P44" s="15">
        <f>N38-P41</f>
        <v>3948.43</v>
      </c>
      <c r="Q44" s="14"/>
      <c r="R44" s="2"/>
      <c r="S44" s="11"/>
      <c r="T44" s="14"/>
      <c r="U44" s="12"/>
      <c r="V44" s="15">
        <f>T38-V41</f>
        <v>4028.42</v>
      </c>
      <c r="W44" s="14"/>
      <c r="X44" s="2"/>
      <c r="Y44" s="11"/>
      <c r="Z44" s="14"/>
      <c r="AA44" s="12"/>
      <c r="AB44" s="15">
        <f>Z38-AB41</f>
        <v>4361.58</v>
      </c>
      <c r="AC44" s="14"/>
      <c r="AD44" s="2"/>
      <c r="AE44" s="11"/>
      <c r="AF44" s="14"/>
      <c r="AG44" s="12"/>
      <c r="AH44" s="15">
        <f>AF38-AH41</f>
        <v>4451.57</v>
      </c>
      <c r="AI44" s="14"/>
      <c r="AJ44" s="2"/>
      <c r="AK44" s="11"/>
      <c r="AL44" s="14"/>
      <c r="AM44" s="12"/>
      <c r="AN44" s="15">
        <f>AL38-AN41</f>
        <v>4451.57</v>
      </c>
      <c r="AO44" s="14"/>
      <c r="AP44" s="2"/>
      <c r="AQ44" s="11"/>
      <c r="AR44" s="14"/>
      <c r="AS44" s="12"/>
      <c r="AT44" s="15">
        <f>AR38-AT41</f>
        <v>4515.25</v>
      </c>
      <c r="AU44" s="14"/>
      <c r="AV44" s="2"/>
      <c r="AW44" s="11"/>
      <c r="AX44" s="14"/>
      <c r="AY44" s="12"/>
      <c r="AZ44" s="15">
        <f>AX38-AZ41</f>
        <v>4555.15</v>
      </c>
      <c r="BA44" s="14"/>
      <c r="BB44" s="2"/>
      <c r="BC44" s="11"/>
      <c r="BD44" s="14"/>
      <c r="BE44" s="12"/>
      <c r="BF44" s="15">
        <f>BD38-BF41</f>
        <v>4555.15</v>
      </c>
      <c r="BG44" s="14"/>
      <c r="BH44" s="2"/>
      <c r="BI44" s="11"/>
      <c r="BJ44" s="14"/>
      <c r="BK44" s="12"/>
      <c r="BL44" s="15">
        <f>BJ38-BL41</f>
        <v>4722.16</v>
      </c>
      <c r="BM44" s="14"/>
      <c r="BN44" s="2"/>
      <c r="BO44" s="11"/>
      <c r="BP44" s="14"/>
      <c r="BQ44" s="12"/>
      <c r="BR44" s="15">
        <f>BP38-BR41</f>
        <v>4722.16</v>
      </c>
      <c r="BS44" s="14"/>
    </row>
    <row r="45">
      <c r="A45" s="11"/>
      <c r="B45" s="2"/>
      <c r="C45" s="4"/>
      <c r="D45" s="2"/>
      <c r="E45" s="2"/>
      <c r="F45" s="2"/>
      <c r="G45" s="2"/>
      <c r="H45" s="2"/>
      <c r="I45" s="4"/>
      <c r="J45" s="2"/>
      <c r="K45" s="2"/>
      <c r="L45" s="2"/>
      <c r="M45" s="11"/>
      <c r="N45" s="2"/>
      <c r="O45" s="4"/>
      <c r="P45" s="2"/>
      <c r="Q45" s="2"/>
      <c r="R45" s="2"/>
      <c r="S45" s="11"/>
      <c r="T45" s="2"/>
      <c r="U45" s="4"/>
      <c r="V45" s="2"/>
      <c r="W45" s="2"/>
      <c r="X45" s="2"/>
      <c r="Y45" s="11"/>
      <c r="Z45" s="2"/>
      <c r="AA45" s="4"/>
      <c r="AB45" s="2"/>
      <c r="AC45" s="2"/>
      <c r="AD45" s="2"/>
      <c r="AE45" s="11"/>
      <c r="AF45" s="2"/>
      <c r="AG45" s="4"/>
      <c r="AH45" s="2"/>
      <c r="AI45" s="2"/>
      <c r="AJ45" s="2"/>
      <c r="AK45" s="11"/>
      <c r="AL45" s="2"/>
      <c r="AM45" s="4"/>
      <c r="AN45" s="2"/>
      <c r="AO45" s="2"/>
      <c r="AP45" s="2"/>
      <c r="AQ45" s="11"/>
      <c r="AR45" s="2"/>
      <c r="AS45" s="4"/>
      <c r="AT45" s="2"/>
      <c r="AU45" s="2"/>
      <c r="AV45" s="2"/>
      <c r="AW45" s="11"/>
      <c r="AX45" s="2"/>
      <c r="AY45" s="4"/>
      <c r="AZ45" s="2"/>
      <c r="BA45" s="2"/>
      <c r="BB45" s="2"/>
      <c r="BC45" s="11"/>
      <c r="BD45" s="2"/>
      <c r="BE45" s="4"/>
      <c r="BF45" s="2"/>
      <c r="BG45" s="2"/>
      <c r="BH45" s="2"/>
      <c r="BI45" s="11"/>
      <c r="BJ45" s="2"/>
      <c r="BK45" s="4"/>
      <c r="BL45" s="2"/>
      <c r="BM45" s="2"/>
      <c r="BN45" s="2"/>
      <c r="BO45" s="11"/>
      <c r="BP45" s="2"/>
      <c r="BQ45" s="4"/>
      <c r="BR45" s="2"/>
      <c r="BS45" s="2"/>
    </row>
    <row r="46">
      <c r="A46" s="11"/>
      <c r="B46" s="2"/>
      <c r="C46" s="4"/>
      <c r="D46" s="2"/>
      <c r="E46" s="2"/>
      <c r="F46" s="2"/>
      <c r="G46" s="2"/>
      <c r="H46" s="2"/>
      <c r="I46" s="4"/>
      <c r="J46" s="2"/>
      <c r="K46" s="2"/>
      <c r="L46" s="2"/>
      <c r="M46" s="11"/>
      <c r="N46" s="2"/>
      <c r="O46" s="4"/>
      <c r="P46" s="2"/>
      <c r="Q46" s="2"/>
      <c r="R46" s="2"/>
      <c r="S46" s="11"/>
      <c r="T46" s="2"/>
      <c r="U46" s="4"/>
      <c r="V46" s="2"/>
      <c r="W46" s="2"/>
      <c r="X46" s="2"/>
      <c r="Y46" s="11"/>
      <c r="Z46" s="2"/>
      <c r="AA46" s="4"/>
      <c r="AB46" s="2"/>
      <c r="AC46" s="2"/>
      <c r="AD46" s="2"/>
      <c r="AE46" s="11"/>
      <c r="AF46" s="2"/>
      <c r="AG46" s="4"/>
      <c r="AH46" s="2"/>
      <c r="AI46" s="2"/>
      <c r="AJ46" s="2"/>
      <c r="AK46" s="11"/>
      <c r="AL46" s="2"/>
      <c r="AM46" s="4"/>
      <c r="AN46" s="2"/>
      <c r="AO46" s="2"/>
      <c r="AP46" s="2"/>
      <c r="AQ46" s="11"/>
      <c r="AR46" s="2"/>
      <c r="AS46" s="4"/>
      <c r="AT46" s="2"/>
      <c r="AU46" s="2"/>
      <c r="AV46" s="2"/>
      <c r="AW46" s="11"/>
      <c r="AX46" s="2"/>
      <c r="AY46" s="4"/>
      <c r="AZ46" s="2"/>
      <c r="BA46" s="2"/>
      <c r="BB46" s="2"/>
      <c r="BC46" s="11"/>
      <c r="BD46" s="2"/>
      <c r="BE46" s="4"/>
      <c r="BF46" s="2"/>
      <c r="BG46" s="2"/>
      <c r="BH46" s="2"/>
      <c r="BI46" s="11"/>
      <c r="BJ46" s="2"/>
      <c r="BK46" s="4"/>
      <c r="BL46" s="2"/>
      <c r="BM46" s="2"/>
      <c r="BN46" s="2"/>
      <c r="BO46" s="11"/>
      <c r="BP46" s="2"/>
      <c r="BQ46" s="4"/>
      <c r="BR46" s="2"/>
      <c r="BS46" s="2"/>
    </row>
    <row r="47">
      <c r="A47" s="11"/>
      <c r="B47" s="8"/>
      <c r="C47" s="4"/>
      <c r="D47" s="2"/>
      <c r="E47" s="2"/>
      <c r="F47" s="2"/>
      <c r="G47" s="2"/>
      <c r="H47" s="8"/>
      <c r="I47" s="4"/>
      <c r="J47" s="2"/>
      <c r="K47" s="2"/>
      <c r="L47" s="2"/>
      <c r="M47" s="11"/>
      <c r="N47" s="8"/>
      <c r="O47" s="4"/>
      <c r="P47" s="2"/>
      <c r="Q47" s="2"/>
      <c r="R47" s="2"/>
      <c r="S47" s="11"/>
      <c r="T47" s="8"/>
      <c r="U47" s="4"/>
      <c r="V47" s="2"/>
      <c r="W47" s="2"/>
      <c r="X47" s="2"/>
      <c r="Y47" s="11"/>
      <c r="Z47" s="8"/>
      <c r="AA47" s="4"/>
      <c r="AB47" s="2"/>
      <c r="AC47" s="2"/>
      <c r="AD47" s="2"/>
      <c r="AE47" s="11"/>
      <c r="AF47" s="8"/>
      <c r="AG47" s="4"/>
      <c r="AH47" s="2"/>
      <c r="AI47" s="2"/>
      <c r="AJ47" s="2"/>
      <c r="AK47" s="11"/>
      <c r="AL47" s="8"/>
      <c r="AM47" s="4"/>
      <c r="AN47" s="2"/>
      <c r="AO47" s="2"/>
      <c r="AP47" s="2"/>
      <c r="AQ47" s="11"/>
      <c r="AR47" s="8"/>
      <c r="AS47" s="4"/>
      <c r="AT47" s="2"/>
      <c r="AU47" s="2"/>
      <c r="AV47" s="2"/>
      <c r="AW47" s="11"/>
      <c r="AX47" s="8"/>
      <c r="AY47" s="4"/>
      <c r="AZ47" s="2"/>
      <c r="BA47" s="2"/>
      <c r="BB47" s="2"/>
      <c r="BC47" s="11"/>
      <c r="BD47" s="8"/>
      <c r="BE47" s="4"/>
      <c r="BF47" s="2"/>
      <c r="BG47" s="2"/>
      <c r="BH47" s="2"/>
      <c r="BI47" s="11"/>
      <c r="BJ47" s="8"/>
      <c r="BK47" s="4"/>
      <c r="BL47" s="2"/>
      <c r="BM47" s="2"/>
      <c r="BN47" s="2"/>
      <c r="BO47" s="11"/>
      <c r="BP47" s="8"/>
      <c r="BQ47" s="4"/>
      <c r="BR47" s="2"/>
      <c r="BS47" s="2"/>
    </row>
    <row r="48">
      <c r="A48" s="11"/>
      <c r="B48" s="2"/>
      <c r="C48" s="4"/>
      <c r="D48" s="2"/>
      <c r="E48" s="2"/>
      <c r="F48" s="2"/>
      <c r="G48" s="2"/>
      <c r="H48" s="2"/>
      <c r="I48" s="4"/>
      <c r="J48" s="2"/>
      <c r="K48" s="2"/>
      <c r="L48" s="2"/>
      <c r="M48" s="11"/>
      <c r="N48" s="2"/>
      <c r="O48" s="4"/>
      <c r="P48" s="2"/>
      <c r="Q48" s="2"/>
      <c r="R48" s="2"/>
      <c r="S48" s="11"/>
      <c r="T48" s="2"/>
      <c r="U48" s="4"/>
      <c r="V48" s="2"/>
      <c r="W48" s="2"/>
      <c r="X48" s="2"/>
      <c r="Y48" s="11"/>
      <c r="Z48" s="2"/>
      <c r="AA48" s="4"/>
      <c r="AB48" s="2"/>
      <c r="AC48" s="2"/>
      <c r="AD48" s="2"/>
      <c r="AE48" s="11"/>
      <c r="AF48" s="2"/>
      <c r="AG48" s="4"/>
      <c r="AH48" s="2"/>
      <c r="AI48" s="2"/>
      <c r="AJ48" s="2"/>
      <c r="AK48" s="11"/>
      <c r="AL48" s="2"/>
      <c r="AM48" s="4"/>
      <c r="AN48" s="2"/>
      <c r="AO48" s="2"/>
      <c r="AP48" s="2"/>
      <c r="AQ48" s="11"/>
      <c r="AR48" s="2"/>
      <c r="AS48" s="4"/>
      <c r="AT48" s="2"/>
      <c r="AU48" s="2"/>
      <c r="AV48" s="2"/>
      <c r="AW48" s="11"/>
      <c r="AX48" s="2"/>
      <c r="AY48" s="4"/>
      <c r="AZ48" s="2"/>
      <c r="BA48" s="2"/>
      <c r="BB48" s="2"/>
      <c r="BC48" s="11"/>
      <c r="BD48" s="2"/>
      <c r="BE48" s="4"/>
      <c r="BF48" s="2"/>
      <c r="BG48" s="2"/>
      <c r="BH48" s="2"/>
      <c r="BI48" s="11"/>
      <c r="BJ48" s="2"/>
      <c r="BK48" s="4"/>
      <c r="BL48" s="2"/>
      <c r="BM48" s="2"/>
      <c r="BN48" s="2"/>
      <c r="BO48" s="11"/>
      <c r="BP48" s="2"/>
      <c r="BQ48" s="4"/>
      <c r="BR48" s="2"/>
      <c r="BS48" s="2"/>
    </row>
    <row r="49">
      <c r="A49" s="11"/>
      <c r="B49" s="2"/>
      <c r="C49" s="4"/>
      <c r="D49" s="2"/>
      <c r="E49" s="2"/>
      <c r="F49" s="2"/>
      <c r="G49" s="2"/>
      <c r="H49" s="2"/>
      <c r="I49" s="4"/>
      <c r="J49" s="2"/>
      <c r="K49" s="2"/>
      <c r="L49" s="2"/>
      <c r="M49" s="11"/>
      <c r="N49" s="2"/>
      <c r="O49" s="4"/>
      <c r="P49" s="2"/>
      <c r="Q49" s="2"/>
      <c r="R49" s="2"/>
      <c r="S49" s="11"/>
      <c r="T49" s="2"/>
      <c r="U49" s="4"/>
      <c r="V49" s="2"/>
      <c r="W49" s="2"/>
      <c r="X49" s="2"/>
      <c r="Y49" s="11"/>
      <c r="Z49" s="2"/>
      <c r="AA49" s="4"/>
      <c r="AB49" s="2"/>
      <c r="AC49" s="2"/>
      <c r="AD49" s="2"/>
      <c r="AE49" s="11"/>
      <c r="AF49" s="2"/>
      <c r="AG49" s="4"/>
      <c r="AH49" s="2"/>
      <c r="AI49" s="2"/>
      <c r="AJ49" s="2"/>
      <c r="AK49" s="11"/>
      <c r="AL49" s="2"/>
      <c r="AM49" s="4"/>
      <c r="AN49" s="2"/>
      <c r="AO49" s="2"/>
      <c r="AP49" s="2"/>
      <c r="AQ49" s="11"/>
      <c r="AR49" s="2"/>
      <c r="AS49" s="4"/>
      <c r="AT49" s="2"/>
      <c r="AU49" s="2"/>
      <c r="AV49" s="2"/>
      <c r="AW49" s="11"/>
      <c r="AX49" s="2"/>
      <c r="AY49" s="4"/>
      <c r="AZ49" s="2"/>
      <c r="BA49" s="2"/>
      <c r="BB49" s="2"/>
      <c r="BC49" s="11"/>
      <c r="BD49" s="2"/>
      <c r="BE49" s="4"/>
      <c r="BF49" s="2"/>
      <c r="BG49" s="2"/>
      <c r="BH49" s="2"/>
      <c r="BI49" s="11"/>
      <c r="BJ49" s="2"/>
      <c r="BK49" s="4"/>
      <c r="BL49" s="2"/>
      <c r="BM49" s="2"/>
      <c r="BN49" s="2"/>
      <c r="BO49" s="11"/>
      <c r="BP49" s="2"/>
      <c r="BQ49" s="4"/>
      <c r="BR49" s="2"/>
      <c r="BS49" s="2"/>
    </row>
    <row r="50">
      <c r="A50" s="11"/>
      <c r="B50" s="2"/>
      <c r="C50" s="4"/>
      <c r="D50" s="2"/>
      <c r="E50" s="2"/>
      <c r="F50" s="2"/>
      <c r="G50" s="2"/>
      <c r="H50" s="2"/>
      <c r="I50" s="4"/>
      <c r="J50" s="2"/>
      <c r="K50" s="2"/>
      <c r="L50" s="2"/>
      <c r="M50" s="11"/>
      <c r="N50" s="2"/>
      <c r="O50" s="4"/>
      <c r="P50" s="2"/>
      <c r="Q50" s="2"/>
      <c r="R50" s="2"/>
      <c r="S50" s="11"/>
      <c r="T50" s="2"/>
      <c r="U50" s="4"/>
      <c r="V50" s="2"/>
      <c r="W50" s="2"/>
      <c r="X50" s="2"/>
      <c r="Y50" s="11"/>
      <c r="Z50" s="2"/>
      <c r="AA50" s="4"/>
      <c r="AB50" s="2"/>
      <c r="AC50" s="2"/>
      <c r="AD50" s="2"/>
      <c r="AE50" s="11"/>
      <c r="AF50" s="2"/>
      <c r="AG50" s="4"/>
      <c r="AH50" s="2"/>
      <c r="AI50" s="2"/>
      <c r="AJ50" s="2"/>
      <c r="AK50" s="11"/>
      <c r="AL50" s="2"/>
      <c r="AM50" s="4"/>
      <c r="AN50" s="2"/>
      <c r="AO50" s="2"/>
      <c r="AP50" s="2"/>
      <c r="AQ50" s="11"/>
      <c r="AR50" s="2"/>
      <c r="AS50" s="4"/>
      <c r="AT50" s="2"/>
      <c r="AU50" s="2"/>
      <c r="AV50" s="2"/>
      <c r="AW50" s="11"/>
      <c r="AX50" s="2"/>
      <c r="AY50" s="4"/>
      <c r="AZ50" s="2"/>
      <c r="BA50" s="2"/>
      <c r="BB50" s="2"/>
      <c r="BC50" s="11"/>
      <c r="BD50" s="2"/>
      <c r="BE50" s="4"/>
      <c r="BF50" s="2"/>
      <c r="BG50" s="2"/>
      <c r="BH50" s="2"/>
      <c r="BI50" s="11"/>
      <c r="BJ50" s="2"/>
      <c r="BK50" s="4"/>
      <c r="BL50" s="2"/>
      <c r="BM50" s="2"/>
      <c r="BN50" s="2"/>
      <c r="BO50" s="11"/>
      <c r="BP50" s="2"/>
      <c r="BQ50" s="4"/>
      <c r="BR50" s="2"/>
      <c r="BS50" s="2"/>
    </row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conditionalFormatting sqref="E3:E33 K3:K33 Q3:Q33 W3:W33 AC3:AC33 AI3:AI33 AO3:AO33 AU3:AU33 BA3:BA33 BG3:BG33 BM3:BM33 BS3:BS33">
    <cfRule type="cellIs" dxfId="4" priority="1" operator="between">
      <formula>0</formula>
      <formula>1000</formula>
    </cfRule>
  </conditionalFormatting>
  <conditionalFormatting sqref="E3:E33 K3:K33 Q3:Q33 W3:W33 AC3:AC33 AI3:AI33 AO3:AO33 AU3:AU33 BA3:BA33 BG3:BG33 BM3:BM33 BS3:BS33">
    <cfRule type="cellIs" dxfId="5" priority="2" operator="between">
      <formula>1000</formula>
      <formula>2000</formula>
    </cfRule>
  </conditionalFormatting>
  <conditionalFormatting sqref="E3:E33 K3:K33 Q3:Q33 W3:W33 AC3:AC33 AI3:AI33 AO3:AO33 AU3:AU33 BA3:BA33 BG3:BG33 BM3:BM33 BS3:BS33">
    <cfRule type="cellIs" dxfId="6" priority="3" operator="greaterThan">
      <formula>2000</formula>
    </cfRule>
  </conditionalFormatting>
  <conditionalFormatting sqref="E2:E36 K2:K36 Q2:Q36 W2:W36 AC2:AC36 AI2:AI36 AO2:AO36 AU2:AU36 BA2:BA36 BG2:BG36 BM2:BM36 BS2:BS36 E45:E50 K45:K50 Q45:Q50 W45:W50 AC45:AC50 AI45:AI50 AO45:AO50 AU45:AU50 BA45:BA50 BG45:BG50 BM45:BM50 BS45:BS50">
    <cfRule type="cellIs" dxfId="7" priority="4" operator="between">
      <formula>0</formula>
      <formula>-499.99</formula>
    </cfRule>
  </conditionalFormatting>
  <conditionalFormatting sqref="A1:D1 E1:E50 K2:K50 Q2:Q50 W2:W50 AC2:AC50 AI2:AI50 AO2:AO50 AU2:AU50 BA2:BA50 BG2:BG50 BM2:BM50 BS2:BS50">
    <cfRule type="cellIs" dxfId="8" priority="5" operator="lessThan">
      <formula>-500</formula>
    </cfRule>
  </conditionalFormatting>
  <drawing r:id="rId2"/>
  <legacyDrawing r:id="rId3"/>
  <tableParts count="34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4" max="5" width="13.63"/>
    <col customWidth="1" min="6" max="6" width="3.63"/>
    <col customWidth="1" min="7" max="7" width="11.13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>
      <c r="A4" s="1"/>
      <c r="B4" s="1">
        <v>2025.0</v>
      </c>
      <c r="C4" s="1" t="s">
        <v>22</v>
      </c>
      <c r="D4" s="17" t="s">
        <v>23</v>
      </c>
      <c r="E4" s="1" t="s">
        <v>24</v>
      </c>
      <c r="F4" s="1"/>
      <c r="G4" s="1">
        <v>2026.0</v>
      </c>
      <c r="H4" s="1" t="s">
        <v>22</v>
      </c>
      <c r="I4" s="17" t="s">
        <v>23</v>
      </c>
      <c r="J4" s="1" t="s">
        <v>24</v>
      </c>
      <c r="K4" s="1"/>
    </row>
    <row r="5">
      <c r="A5" s="5"/>
      <c r="B5" s="5" t="s">
        <v>25</v>
      </c>
      <c r="C5" s="18">
        <f>'2025'!B38</f>
        <v>0</v>
      </c>
      <c r="D5" s="19">
        <v>0.0</v>
      </c>
      <c r="E5" s="20" t="str">
        <f t="shared" ref="E5:E16" si="1">D5/C5</f>
        <v>#DIV/0!</v>
      </c>
      <c r="F5" s="20"/>
      <c r="G5" s="5" t="s">
        <v>25</v>
      </c>
      <c r="H5" s="21">
        <f>'2026'!B38</f>
        <v>17800</v>
      </c>
      <c r="I5" s="19">
        <v>0.0</v>
      </c>
      <c r="J5" s="22">
        <f t="shared" ref="J5:J16" si="2">I5/H5</f>
        <v>0</v>
      </c>
      <c r="K5" s="23"/>
    </row>
    <row r="6">
      <c r="A6" s="5"/>
      <c r="B6" s="5" t="s">
        <v>26</v>
      </c>
      <c r="C6" s="18">
        <f>'2025'!H38</f>
        <v>0</v>
      </c>
      <c r="D6" s="19">
        <v>0.0</v>
      </c>
      <c r="E6" s="20" t="str">
        <f t="shared" si="1"/>
        <v>#DIV/0!</v>
      </c>
      <c r="F6" s="20"/>
      <c r="G6" s="5" t="s">
        <v>26</v>
      </c>
      <c r="H6" s="21">
        <f>'2026'!H38</f>
        <v>17800</v>
      </c>
      <c r="I6" s="19">
        <v>0.0</v>
      </c>
      <c r="J6" s="22">
        <f t="shared" si="2"/>
        <v>0</v>
      </c>
      <c r="K6" s="23"/>
    </row>
    <row r="7">
      <c r="A7" s="5"/>
      <c r="B7" s="5" t="s">
        <v>27</v>
      </c>
      <c r="C7" s="18">
        <f>'2025'!N38</f>
        <v>0</v>
      </c>
      <c r="D7" s="19">
        <v>0.0</v>
      </c>
      <c r="E7" s="20" t="str">
        <f t="shared" si="1"/>
        <v>#DIV/0!</v>
      </c>
      <c r="F7" s="20"/>
      <c r="G7" s="5" t="s">
        <v>27</v>
      </c>
      <c r="H7" s="21">
        <f>'2026'!N38</f>
        <v>17800</v>
      </c>
      <c r="I7" s="19">
        <v>0.0</v>
      </c>
      <c r="J7" s="22">
        <f t="shared" si="2"/>
        <v>0</v>
      </c>
      <c r="K7" s="23"/>
    </row>
    <row r="8">
      <c r="A8" s="5"/>
      <c r="B8" s="5" t="s">
        <v>28</v>
      </c>
      <c r="C8" s="18">
        <f>'2025'!T38</f>
        <v>0</v>
      </c>
      <c r="D8" s="19">
        <v>0.0</v>
      </c>
      <c r="E8" s="20" t="str">
        <f t="shared" si="1"/>
        <v>#DIV/0!</v>
      </c>
      <c r="F8" s="20"/>
      <c r="G8" s="5" t="s">
        <v>28</v>
      </c>
      <c r="H8" s="21">
        <f>'2026'!T38</f>
        <v>17800</v>
      </c>
      <c r="I8" s="19">
        <v>0.0</v>
      </c>
      <c r="J8" s="22">
        <f t="shared" si="2"/>
        <v>0</v>
      </c>
      <c r="K8" s="23"/>
    </row>
    <row r="9">
      <c r="A9" s="5"/>
      <c r="B9" s="5" t="s">
        <v>29</v>
      </c>
      <c r="C9" s="18">
        <f>'2025'!Z38</f>
        <v>0</v>
      </c>
      <c r="D9" s="19">
        <v>0.0</v>
      </c>
      <c r="E9" s="20" t="str">
        <f t="shared" si="1"/>
        <v>#DIV/0!</v>
      </c>
      <c r="F9" s="20"/>
      <c r="G9" s="5" t="s">
        <v>29</v>
      </c>
      <c r="H9" s="21">
        <f>'2026'!Z38</f>
        <v>17800</v>
      </c>
      <c r="I9" s="19">
        <v>0.0</v>
      </c>
      <c r="J9" s="22">
        <f t="shared" si="2"/>
        <v>0</v>
      </c>
      <c r="K9" s="23"/>
    </row>
    <row r="10">
      <c r="A10" s="5"/>
      <c r="B10" s="5" t="s">
        <v>30</v>
      </c>
      <c r="C10" s="18">
        <f>'2025'!AF38</f>
        <v>0</v>
      </c>
      <c r="D10" s="19">
        <v>0.0</v>
      </c>
      <c r="E10" s="20" t="str">
        <f t="shared" si="1"/>
        <v>#DIV/0!</v>
      </c>
      <c r="F10" s="20"/>
      <c r="G10" s="5" t="s">
        <v>30</v>
      </c>
      <c r="H10" s="21">
        <f>'2026'!AF38</f>
        <v>17800</v>
      </c>
      <c r="I10" s="19">
        <v>0.0</v>
      </c>
      <c r="J10" s="22">
        <f t="shared" si="2"/>
        <v>0</v>
      </c>
      <c r="K10" s="23"/>
    </row>
    <row r="11">
      <c r="A11" s="5"/>
      <c r="B11" s="5" t="s">
        <v>31</v>
      </c>
      <c r="C11" s="18">
        <f>'2025'!AL38</f>
        <v>0</v>
      </c>
      <c r="D11" s="19">
        <v>0.0</v>
      </c>
      <c r="E11" s="20" t="str">
        <f t="shared" si="1"/>
        <v>#DIV/0!</v>
      </c>
      <c r="F11" s="20"/>
      <c r="G11" s="5" t="s">
        <v>31</v>
      </c>
      <c r="H11" s="21">
        <f>'2026'!AL38</f>
        <v>17800</v>
      </c>
      <c r="I11" s="19">
        <v>0.0</v>
      </c>
      <c r="J11" s="22">
        <f t="shared" si="2"/>
        <v>0</v>
      </c>
      <c r="K11" s="23"/>
    </row>
    <row r="12">
      <c r="A12" s="5"/>
      <c r="B12" s="5" t="s">
        <v>32</v>
      </c>
      <c r="C12" s="18">
        <f>'2025'!AR38</f>
        <v>0</v>
      </c>
      <c r="D12" s="19">
        <v>0.0</v>
      </c>
      <c r="E12" s="20" t="str">
        <f t="shared" si="1"/>
        <v>#DIV/0!</v>
      </c>
      <c r="F12" s="20"/>
      <c r="G12" s="5" t="s">
        <v>32</v>
      </c>
      <c r="H12" s="21">
        <f>'2026'!AR38</f>
        <v>17800</v>
      </c>
      <c r="I12" s="19">
        <v>0.0</v>
      </c>
      <c r="J12" s="22">
        <f t="shared" si="2"/>
        <v>0</v>
      </c>
      <c r="K12" s="23"/>
    </row>
    <row r="13">
      <c r="A13" s="5"/>
      <c r="B13" s="5" t="s">
        <v>33</v>
      </c>
      <c r="C13" s="18">
        <f>'2025'!AX38</f>
        <v>0</v>
      </c>
      <c r="D13" s="19">
        <v>0.0</v>
      </c>
      <c r="E13" s="20" t="str">
        <f t="shared" si="1"/>
        <v>#DIV/0!</v>
      </c>
      <c r="F13" s="20"/>
      <c r="G13" s="5" t="s">
        <v>33</v>
      </c>
      <c r="H13" s="21">
        <f>'2026'!AX38</f>
        <v>17800</v>
      </c>
      <c r="I13" s="19">
        <v>0.0</v>
      </c>
      <c r="J13" s="22">
        <f t="shared" si="2"/>
        <v>0</v>
      </c>
      <c r="K13" s="23"/>
    </row>
    <row r="14">
      <c r="A14" s="5"/>
      <c r="B14" s="5" t="s">
        <v>34</v>
      </c>
      <c r="C14" s="18">
        <f>'2025'!BD38</f>
        <v>0</v>
      </c>
      <c r="D14" s="19">
        <v>0.0</v>
      </c>
      <c r="E14" s="20" t="str">
        <f t="shared" si="1"/>
        <v>#DIV/0!</v>
      </c>
      <c r="F14" s="20"/>
      <c r="G14" s="5" t="s">
        <v>34</v>
      </c>
      <c r="H14" s="21">
        <f>'2026'!BD38</f>
        <v>17800</v>
      </c>
      <c r="I14" s="19">
        <v>0.0</v>
      </c>
      <c r="J14" s="22">
        <f t="shared" si="2"/>
        <v>0</v>
      </c>
      <c r="K14" s="23"/>
    </row>
    <row r="15">
      <c r="A15" s="5"/>
      <c r="B15" s="5" t="s">
        <v>35</v>
      </c>
      <c r="C15" s="18">
        <f>'2025'!BJ38</f>
        <v>23069.53</v>
      </c>
      <c r="D15" s="19">
        <v>0.0</v>
      </c>
      <c r="E15" s="20">
        <f t="shared" si="1"/>
        <v>0</v>
      </c>
      <c r="F15" s="20"/>
      <c r="G15" s="5" t="s">
        <v>35</v>
      </c>
      <c r="H15" s="21">
        <f>'2026'!BJ38</f>
        <v>17800</v>
      </c>
      <c r="I15" s="19">
        <v>0.0</v>
      </c>
      <c r="J15" s="22">
        <f t="shared" si="2"/>
        <v>0</v>
      </c>
      <c r="K15" s="23"/>
    </row>
    <row r="16">
      <c r="A16" s="5"/>
      <c r="B16" s="5" t="s">
        <v>36</v>
      </c>
      <c r="C16" s="18">
        <f>'2025'!BP38</f>
        <v>18536</v>
      </c>
      <c r="D16" s="19">
        <v>0.0</v>
      </c>
      <c r="E16" s="20">
        <f t="shared" si="1"/>
        <v>0</v>
      </c>
      <c r="F16" s="20"/>
      <c r="G16" s="5" t="s">
        <v>36</v>
      </c>
      <c r="H16" s="21">
        <f>'2026'!BP38</f>
        <v>17800</v>
      </c>
      <c r="I16" s="19">
        <v>0.0</v>
      </c>
      <c r="J16" s="22">
        <f t="shared" si="2"/>
        <v>0</v>
      </c>
      <c r="K16" s="23"/>
    </row>
    <row r="17">
      <c r="A17" s="16"/>
      <c r="B17" s="16"/>
      <c r="C17" s="16"/>
      <c r="D17" s="18"/>
      <c r="E17" s="18"/>
      <c r="F17" s="16"/>
      <c r="G17" s="16"/>
      <c r="H17" s="16"/>
      <c r="I17" s="16"/>
      <c r="J17" s="18"/>
      <c r="K17" s="18"/>
    </row>
    <row r="18">
      <c r="A18" s="16"/>
      <c r="B18" s="24" t="s">
        <v>37</v>
      </c>
      <c r="C18" s="25">
        <f t="shared" ref="C18:D18" si="3">sum(C5:C16)</f>
        <v>41605.53</v>
      </c>
      <c r="D18" s="25">
        <f t="shared" si="3"/>
        <v>0</v>
      </c>
      <c r="E18" s="26">
        <f>D18/C18</f>
        <v>0</v>
      </c>
      <c r="F18" s="20"/>
      <c r="G18" s="24" t="s">
        <v>37</v>
      </c>
      <c r="H18" s="25">
        <f t="shared" ref="H18:I18" si="4">sum(H5:H16)</f>
        <v>213600</v>
      </c>
      <c r="I18" s="25">
        <f t="shared" si="4"/>
        <v>0</v>
      </c>
      <c r="J18" s="26">
        <f>I18/H18</f>
        <v>0</v>
      </c>
      <c r="K18" s="18"/>
    </row>
    <row r="19">
      <c r="A19" s="16"/>
      <c r="B19" s="16"/>
      <c r="C19" s="27"/>
      <c r="D19" s="16"/>
      <c r="E19" s="16"/>
      <c r="F19" s="16"/>
      <c r="G19" s="16"/>
      <c r="H19" s="16"/>
      <c r="I19" s="27"/>
      <c r="J19" s="16"/>
      <c r="K19" s="16"/>
    </row>
    <row r="20">
      <c r="A20" s="28"/>
      <c r="B20" s="28"/>
      <c r="C20" s="29"/>
      <c r="D20" s="29"/>
      <c r="E20" s="29"/>
      <c r="F20" s="30"/>
      <c r="G20" s="16"/>
      <c r="H20" s="28"/>
      <c r="I20" s="29"/>
      <c r="J20" s="29"/>
      <c r="K20" s="29"/>
    </row>
    <row r="21">
      <c r="A21" s="28"/>
      <c r="B21" s="28"/>
      <c r="C21" s="29"/>
      <c r="D21" s="29"/>
      <c r="E21" s="29"/>
      <c r="F21" s="28"/>
      <c r="G21" s="16"/>
      <c r="H21" s="28"/>
      <c r="I21" s="29"/>
      <c r="J21" s="29"/>
      <c r="K21" s="29"/>
    </row>
    <row r="22">
      <c r="A22" s="28"/>
      <c r="B22" s="28"/>
      <c r="C22" s="29"/>
      <c r="D22" s="29"/>
      <c r="E22" s="29"/>
      <c r="F22" s="28"/>
      <c r="G22" s="16"/>
      <c r="H22" s="28"/>
      <c r="I22" s="29"/>
      <c r="J22" s="29"/>
      <c r="K22" s="29"/>
    </row>
    <row r="23">
      <c r="A23" s="28"/>
      <c r="B23" s="28"/>
      <c r="C23" s="31"/>
      <c r="D23" s="32"/>
      <c r="E23" s="28"/>
      <c r="F23" s="33"/>
      <c r="G23" s="16"/>
      <c r="H23" s="28"/>
      <c r="I23" s="28"/>
      <c r="J23" s="28"/>
      <c r="K23" s="28"/>
    </row>
    <row r="24">
      <c r="A24" s="28"/>
      <c r="B24" s="28"/>
      <c r="C24" s="31"/>
      <c r="D24" s="31"/>
      <c r="E24" s="28"/>
      <c r="F24" s="28"/>
      <c r="G24" s="16"/>
      <c r="H24" s="16"/>
      <c r="I24" s="16"/>
      <c r="J24" s="16"/>
      <c r="K24" s="16"/>
    </row>
    <row r="25">
      <c r="A25" s="16"/>
      <c r="B25" s="16"/>
      <c r="C25" s="31"/>
      <c r="D25" s="31"/>
      <c r="E25" s="16"/>
      <c r="F25" s="2"/>
      <c r="G25" s="16"/>
      <c r="H25" s="16"/>
      <c r="I25" s="16"/>
      <c r="J25" s="16"/>
      <c r="K25" s="16"/>
    </row>
    <row r="26">
      <c r="A26" s="16"/>
      <c r="B26" s="16"/>
      <c r="C26" s="16"/>
      <c r="D26" s="5"/>
      <c r="E26" s="16"/>
      <c r="F26" s="16"/>
      <c r="G26" s="16"/>
      <c r="H26" s="16"/>
      <c r="I26" s="16"/>
      <c r="J26" s="16"/>
      <c r="K26" s="16"/>
    </row>
    <row r="27">
      <c r="A27" s="16"/>
      <c r="B27" s="16"/>
      <c r="C27" s="16"/>
      <c r="D27" s="16"/>
      <c r="E27" s="27"/>
      <c r="F27" s="16"/>
      <c r="G27" s="16"/>
      <c r="H27" s="16"/>
      <c r="I27" s="16"/>
      <c r="J27" s="16"/>
      <c r="K27" s="16"/>
    </row>
    <row r="28">
      <c r="A28" s="16"/>
      <c r="B28" s="16"/>
      <c r="C28" s="16"/>
      <c r="D28" s="16"/>
      <c r="E28" s="1"/>
      <c r="F28" s="16"/>
      <c r="G28" s="16"/>
      <c r="H28" s="16"/>
      <c r="I28" s="16"/>
      <c r="J28" s="16"/>
      <c r="K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>
      <c r="A30" s="16"/>
      <c r="B30" s="16"/>
      <c r="C30" s="34"/>
      <c r="D30" s="35"/>
      <c r="E30" s="16"/>
      <c r="F30" s="16"/>
      <c r="G30" s="16"/>
      <c r="H30" s="16"/>
      <c r="I30" s="16"/>
      <c r="J30" s="16"/>
      <c r="K30" s="16"/>
    </row>
    <row r="31">
      <c r="A31" s="16"/>
      <c r="B31" s="16"/>
      <c r="C31" s="34"/>
      <c r="D31" s="35"/>
      <c r="E31" s="16"/>
      <c r="F31" s="16"/>
      <c r="G31" s="16"/>
      <c r="H31" s="16"/>
      <c r="I31" s="16"/>
      <c r="J31" s="16"/>
      <c r="K31" s="16"/>
    </row>
    <row r="32">
      <c r="A32" s="16"/>
      <c r="B32" s="16"/>
      <c r="C32" s="16"/>
      <c r="D32" s="20"/>
      <c r="E32" s="20"/>
      <c r="F32" s="16"/>
      <c r="G32" s="16"/>
      <c r="H32" s="5"/>
      <c r="I32" s="5"/>
      <c r="J32" s="5"/>
      <c r="K32" s="16"/>
    </row>
    <row r="33">
      <c r="A33" s="16"/>
      <c r="B33" s="16"/>
      <c r="C33" s="5"/>
      <c r="D33" s="1"/>
      <c r="E33" s="16"/>
      <c r="F33" s="16"/>
      <c r="G33" s="5"/>
      <c r="H33" s="36"/>
      <c r="I33" s="5"/>
      <c r="J33" s="16"/>
      <c r="K33" s="16"/>
    </row>
    <row r="34">
      <c r="A34" s="16"/>
      <c r="B34" s="16"/>
      <c r="C34" s="16"/>
      <c r="D34" s="16"/>
      <c r="E34" s="20"/>
      <c r="F34" s="16"/>
      <c r="G34" s="5"/>
      <c r="H34" s="36"/>
      <c r="I34" s="5"/>
      <c r="J34" s="16"/>
      <c r="K34" s="16"/>
    </row>
    <row r="35">
      <c r="A35" s="16"/>
      <c r="B35" s="16"/>
      <c r="C35" s="16"/>
      <c r="D35" s="16"/>
      <c r="E35" s="5"/>
      <c r="F35" s="16"/>
      <c r="G35" s="5"/>
      <c r="H35" s="36"/>
      <c r="I35" s="5"/>
      <c r="J35" s="16"/>
      <c r="K35" s="16"/>
    </row>
    <row r="36">
      <c r="A36" s="16"/>
      <c r="B36" s="16"/>
      <c r="C36" s="5"/>
      <c r="D36" s="5"/>
      <c r="E36" s="20"/>
      <c r="F36" s="16"/>
      <c r="G36" s="5"/>
      <c r="H36" s="36"/>
      <c r="I36" s="5"/>
      <c r="J36" s="16"/>
      <c r="K36" s="36"/>
    </row>
    <row r="37">
      <c r="A37" s="16"/>
      <c r="B37" s="16"/>
      <c r="C37" s="16"/>
      <c r="D37" s="16"/>
      <c r="E37" s="16"/>
      <c r="F37" s="16"/>
      <c r="G37" s="5"/>
      <c r="H37" s="37"/>
      <c r="I37" s="5"/>
      <c r="J37" s="16"/>
      <c r="K37" s="16"/>
    </row>
    <row r="38">
      <c r="A38" s="16"/>
      <c r="B38" s="16"/>
      <c r="C38" s="16"/>
      <c r="D38" s="16"/>
      <c r="E38" s="16"/>
      <c r="F38" s="16"/>
      <c r="G38" s="5"/>
      <c r="H38" s="37"/>
      <c r="I38" s="5"/>
      <c r="J38" s="16"/>
      <c r="K38" s="16"/>
    </row>
    <row r="39">
      <c r="A39" s="16"/>
      <c r="B39" s="16"/>
      <c r="C39" s="16"/>
      <c r="D39" s="16"/>
      <c r="E39" s="16"/>
      <c r="F39" s="38"/>
      <c r="G39" s="39"/>
      <c r="H39" s="36"/>
      <c r="I39" s="5"/>
      <c r="J39" s="16"/>
      <c r="K39" s="16"/>
    </row>
    <row r="40">
      <c r="A40" s="16"/>
      <c r="B40" s="16"/>
      <c r="C40" s="16"/>
      <c r="D40" s="16"/>
      <c r="E40" s="16"/>
      <c r="F40" s="16"/>
      <c r="G40" s="5"/>
      <c r="H40" s="36"/>
      <c r="I40" s="5"/>
      <c r="J40" s="16"/>
      <c r="K40" s="16"/>
    </row>
    <row r="41">
      <c r="A41" s="16"/>
      <c r="B41" s="16"/>
      <c r="C41" s="16"/>
      <c r="D41" s="16"/>
      <c r="E41" s="16"/>
      <c r="F41" s="16"/>
      <c r="G41" s="16"/>
      <c r="H41" s="37"/>
      <c r="I41" s="16"/>
      <c r="J41" s="16"/>
      <c r="K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37"/>
      <c r="K42" s="16"/>
    </row>
    <row r="43">
      <c r="A43" s="16"/>
      <c r="B43" s="16"/>
      <c r="C43" s="16"/>
      <c r="D43" s="16"/>
      <c r="E43" s="16"/>
      <c r="F43" s="16"/>
      <c r="G43" s="16"/>
      <c r="H43" s="16"/>
      <c r="I43" s="5"/>
      <c r="J43" s="16"/>
      <c r="K43" s="16"/>
    </row>
    <row r="44">
      <c r="A44" s="16"/>
      <c r="B44" s="16"/>
      <c r="C44" s="16"/>
      <c r="D44" s="16"/>
      <c r="E44" s="16"/>
      <c r="F44" s="16"/>
      <c r="G44" s="16"/>
      <c r="H44" s="16"/>
      <c r="I44" s="5"/>
      <c r="J44" s="16"/>
      <c r="K44" s="16"/>
    </row>
    <row r="45">
      <c r="A45" s="16"/>
      <c r="B45" s="16"/>
      <c r="C45" s="16"/>
      <c r="D45" s="16"/>
      <c r="E45" s="16"/>
      <c r="F45" s="16"/>
      <c r="G45" s="16"/>
      <c r="H45" s="16"/>
      <c r="K45" s="16"/>
    </row>
    <row r="46">
      <c r="A46" s="16"/>
      <c r="B46" s="16"/>
      <c r="C46" s="16"/>
      <c r="D46" s="16"/>
      <c r="E46" s="16"/>
      <c r="F46" s="16"/>
      <c r="G46" s="16"/>
      <c r="H46" s="16"/>
      <c r="K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5.25"/>
    <col customWidth="1" min="2" max="2" width="23.63"/>
    <col customWidth="1" min="20" max="20" width="14.75"/>
    <col customWidth="1" min="33" max="33" width="14.63"/>
  </cols>
  <sheetData>
    <row r="1">
      <c r="A1" s="40"/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2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>
      <c r="A2" s="43"/>
      <c r="B2" s="43"/>
      <c r="C2" s="44" t="s">
        <v>0</v>
      </c>
      <c r="D2" s="44" t="s">
        <v>1</v>
      </c>
      <c r="E2" s="44" t="s">
        <v>2</v>
      </c>
      <c r="F2" s="44" t="s">
        <v>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M2" s="44" t="s">
        <v>10</v>
      </c>
      <c r="N2" s="44" t="s">
        <v>11</v>
      </c>
      <c r="O2" s="45" t="s">
        <v>0</v>
      </c>
      <c r="P2" s="44" t="s">
        <v>1</v>
      </c>
      <c r="Q2" s="44" t="s">
        <v>2</v>
      </c>
      <c r="R2" s="44" t="s">
        <v>3</v>
      </c>
      <c r="S2" s="44" t="s">
        <v>4</v>
      </c>
      <c r="T2" s="44" t="s">
        <v>5</v>
      </c>
      <c r="U2" s="44" t="s">
        <v>6</v>
      </c>
      <c r="V2" s="44" t="s">
        <v>7</v>
      </c>
      <c r="W2" s="44" t="s">
        <v>8</v>
      </c>
      <c r="X2" s="44" t="s">
        <v>9</v>
      </c>
      <c r="Y2" s="44" t="s">
        <v>10</v>
      </c>
      <c r="Z2" s="44" t="s">
        <v>11</v>
      </c>
      <c r="AA2" s="45" t="s">
        <v>0</v>
      </c>
      <c r="AB2" s="44" t="s">
        <v>1</v>
      </c>
      <c r="AC2" s="44" t="s">
        <v>2</v>
      </c>
      <c r="AD2" s="44" t="s">
        <v>3</v>
      </c>
      <c r="AE2" s="44" t="s">
        <v>4</v>
      </c>
      <c r="AF2" s="44" t="s">
        <v>5</v>
      </c>
      <c r="AG2" s="44" t="s">
        <v>6</v>
      </c>
      <c r="AH2" s="44" t="s">
        <v>7</v>
      </c>
      <c r="AI2" s="44" t="s">
        <v>8</v>
      </c>
      <c r="AJ2" s="44" t="s">
        <v>9</v>
      </c>
      <c r="AK2" s="44" t="s">
        <v>10</v>
      </c>
      <c r="AL2" s="44" t="s">
        <v>11</v>
      </c>
    </row>
    <row r="3">
      <c r="A3" s="40"/>
      <c r="B3" s="46" t="s">
        <v>38</v>
      </c>
      <c r="C3" s="44">
        <f t="shared" ref="C3:AL3" si="1">C5+C14+C23</f>
        <v>0</v>
      </c>
      <c r="D3" s="44">
        <f t="shared" si="1"/>
        <v>0</v>
      </c>
      <c r="E3" s="44">
        <f t="shared" si="1"/>
        <v>0</v>
      </c>
      <c r="F3" s="44">
        <f t="shared" si="1"/>
        <v>0</v>
      </c>
      <c r="G3" s="44">
        <f t="shared" si="1"/>
        <v>0</v>
      </c>
      <c r="H3" s="44">
        <f t="shared" si="1"/>
        <v>0</v>
      </c>
      <c r="I3" s="44">
        <f t="shared" si="1"/>
        <v>0</v>
      </c>
      <c r="J3" s="44">
        <f t="shared" si="1"/>
        <v>0</v>
      </c>
      <c r="K3" s="44">
        <f t="shared" si="1"/>
        <v>0</v>
      </c>
      <c r="L3" s="44">
        <f t="shared" si="1"/>
        <v>0</v>
      </c>
      <c r="M3" s="44">
        <f t="shared" si="1"/>
        <v>0</v>
      </c>
      <c r="N3" s="44">
        <f t="shared" si="1"/>
        <v>0</v>
      </c>
      <c r="O3" s="45">
        <f t="shared" si="1"/>
        <v>0</v>
      </c>
      <c r="P3" s="44">
        <f t="shared" si="1"/>
        <v>0</v>
      </c>
      <c r="Q3" s="44">
        <f t="shared" si="1"/>
        <v>0</v>
      </c>
      <c r="R3" s="44">
        <f t="shared" si="1"/>
        <v>0</v>
      </c>
      <c r="S3" s="44">
        <f t="shared" si="1"/>
        <v>0</v>
      </c>
      <c r="T3" s="44">
        <f t="shared" si="1"/>
        <v>0</v>
      </c>
      <c r="U3" s="44">
        <f t="shared" si="1"/>
        <v>0</v>
      </c>
      <c r="V3" s="44">
        <f t="shared" si="1"/>
        <v>0</v>
      </c>
      <c r="W3" s="44">
        <f t="shared" si="1"/>
        <v>0</v>
      </c>
      <c r="X3" s="44">
        <f t="shared" si="1"/>
        <v>0</v>
      </c>
      <c r="Y3" s="44">
        <f t="shared" si="1"/>
        <v>0</v>
      </c>
      <c r="Z3" s="44">
        <f t="shared" si="1"/>
        <v>0</v>
      </c>
      <c r="AA3" s="45">
        <f t="shared" si="1"/>
        <v>0</v>
      </c>
      <c r="AB3" s="44">
        <f t="shared" si="1"/>
        <v>0</v>
      </c>
      <c r="AC3" s="44">
        <f t="shared" si="1"/>
        <v>0</v>
      </c>
      <c r="AD3" s="44">
        <f t="shared" si="1"/>
        <v>0</v>
      </c>
      <c r="AE3" s="44">
        <f t="shared" si="1"/>
        <v>0</v>
      </c>
      <c r="AF3" s="44">
        <f t="shared" si="1"/>
        <v>0</v>
      </c>
      <c r="AG3" s="44">
        <f t="shared" si="1"/>
        <v>0</v>
      </c>
      <c r="AH3" s="44">
        <f t="shared" si="1"/>
        <v>0</v>
      </c>
      <c r="AI3" s="44">
        <f t="shared" si="1"/>
        <v>0</v>
      </c>
      <c r="AJ3" s="44">
        <f t="shared" si="1"/>
        <v>0</v>
      </c>
      <c r="AK3" s="44">
        <f t="shared" si="1"/>
        <v>0</v>
      </c>
      <c r="AL3" s="44">
        <f t="shared" si="1"/>
        <v>0</v>
      </c>
    </row>
    <row r="4">
      <c r="A4" s="40"/>
      <c r="B4" s="47" t="s">
        <v>21</v>
      </c>
      <c r="C4" s="48">
        <v>0.0</v>
      </c>
      <c r="D4" s="49">
        <f t="shared" ref="D4:AL4" si="2">D3-C3</f>
        <v>0</v>
      </c>
      <c r="E4" s="49">
        <f t="shared" si="2"/>
        <v>0</v>
      </c>
      <c r="F4" s="49">
        <f t="shared" si="2"/>
        <v>0</v>
      </c>
      <c r="G4" s="49">
        <f t="shared" si="2"/>
        <v>0</v>
      </c>
      <c r="H4" s="49">
        <f t="shared" si="2"/>
        <v>0</v>
      </c>
      <c r="I4" s="49">
        <f t="shared" si="2"/>
        <v>0</v>
      </c>
      <c r="J4" s="49">
        <f t="shared" si="2"/>
        <v>0</v>
      </c>
      <c r="K4" s="49">
        <f t="shared" si="2"/>
        <v>0</v>
      </c>
      <c r="L4" s="49">
        <f t="shared" si="2"/>
        <v>0</v>
      </c>
      <c r="M4" s="49">
        <f t="shared" si="2"/>
        <v>0</v>
      </c>
      <c r="N4" s="49">
        <f t="shared" si="2"/>
        <v>0</v>
      </c>
      <c r="O4" s="50">
        <f t="shared" si="2"/>
        <v>0</v>
      </c>
      <c r="P4" s="49">
        <f t="shared" si="2"/>
        <v>0</v>
      </c>
      <c r="Q4" s="49">
        <f t="shared" si="2"/>
        <v>0</v>
      </c>
      <c r="R4" s="49">
        <f t="shared" si="2"/>
        <v>0</v>
      </c>
      <c r="S4" s="49">
        <f t="shared" si="2"/>
        <v>0</v>
      </c>
      <c r="T4" s="49">
        <f t="shared" si="2"/>
        <v>0</v>
      </c>
      <c r="U4" s="49">
        <f t="shared" si="2"/>
        <v>0</v>
      </c>
      <c r="V4" s="49">
        <f t="shared" si="2"/>
        <v>0</v>
      </c>
      <c r="W4" s="49">
        <f t="shared" si="2"/>
        <v>0</v>
      </c>
      <c r="X4" s="49">
        <f t="shared" si="2"/>
        <v>0</v>
      </c>
      <c r="Y4" s="49">
        <f t="shared" si="2"/>
        <v>0</v>
      </c>
      <c r="Z4" s="49">
        <f t="shared" si="2"/>
        <v>0</v>
      </c>
      <c r="AA4" s="50">
        <f t="shared" si="2"/>
        <v>0</v>
      </c>
      <c r="AB4" s="49">
        <f t="shared" si="2"/>
        <v>0</v>
      </c>
      <c r="AC4" s="49">
        <f t="shared" si="2"/>
        <v>0</v>
      </c>
      <c r="AD4" s="49">
        <f t="shared" si="2"/>
        <v>0</v>
      </c>
      <c r="AE4" s="49">
        <f t="shared" si="2"/>
        <v>0</v>
      </c>
      <c r="AF4" s="49">
        <f t="shared" si="2"/>
        <v>0</v>
      </c>
      <c r="AG4" s="49">
        <f t="shared" si="2"/>
        <v>0</v>
      </c>
      <c r="AH4" s="49">
        <f t="shared" si="2"/>
        <v>0</v>
      </c>
      <c r="AI4" s="49">
        <f t="shared" si="2"/>
        <v>0</v>
      </c>
      <c r="AJ4" s="49">
        <f t="shared" si="2"/>
        <v>0</v>
      </c>
      <c r="AK4" s="49">
        <f t="shared" si="2"/>
        <v>0</v>
      </c>
      <c r="AL4" s="49">
        <f t="shared" si="2"/>
        <v>0</v>
      </c>
    </row>
    <row r="5">
      <c r="A5" s="51"/>
      <c r="B5" s="52" t="s">
        <v>39</v>
      </c>
      <c r="C5" s="53">
        <f t="shared" ref="C5:AL5" si="3">sum(C6:C12)</f>
        <v>0</v>
      </c>
      <c r="D5" s="53">
        <f t="shared" si="3"/>
        <v>0</v>
      </c>
      <c r="E5" s="53">
        <f t="shared" si="3"/>
        <v>0</v>
      </c>
      <c r="F5" s="53">
        <f t="shared" si="3"/>
        <v>0</v>
      </c>
      <c r="G5" s="53">
        <f t="shared" si="3"/>
        <v>0</v>
      </c>
      <c r="H5" s="53">
        <f t="shared" si="3"/>
        <v>0</v>
      </c>
      <c r="I5" s="53">
        <f t="shared" si="3"/>
        <v>0</v>
      </c>
      <c r="J5" s="53">
        <f t="shared" si="3"/>
        <v>0</v>
      </c>
      <c r="K5" s="53">
        <f t="shared" si="3"/>
        <v>0</v>
      </c>
      <c r="L5" s="53">
        <f t="shared" si="3"/>
        <v>0</v>
      </c>
      <c r="M5" s="53">
        <f t="shared" si="3"/>
        <v>0</v>
      </c>
      <c r="N5" s="53">
        <f t="shared" si="3"/>
        <v>0</v>
      </c>
      <c r="O5" s="54">
        <f t="shared" si="3"/>
        <v>0</v>
      </c>
      <c r="P5" s="53">
        <f t="shared" si="3"/>
        <v>0</v>
      </c>
      <c r="Q5" s="53">
        <f t="shared" si="3"/>
        <v>0</v>
      </c>
      <c r="R5" s="53">
        <f t="shared" si="3"/>
        <v>0</v>
      </c>
      <c r="S5" s="53">
        <f t="shared" si="3"/>
        <v>0</v>
      </c>
      <c r="T5" s="53">
        <f t="shared" si="3"/>
        <v>0</v>
      </c>
      <c r="U5" s="53">
        <f t="shared" si="3"/>
        <v>0</v>
      </c>
      <c r="V5" s="53">
        <f t="shared" si="3"/>
        <v>0</v>
      </c>
      <c r="W5" s="53">
        <f t="shared" si="3"/>
        <v>0</v>
      </c>
      <c r="X5" s="53">
        <f t="shared" si="3"/>
        <v>0</v>
      </c>
      <c r="Y5" s="53">
        <f t="shared" si="3"/>
        <v>0</v>
      </c>
      <c r="Z5" s="53">
        <f t="shared" si="3"/>
        <v>0</v>
      </c>
      <c r="AA5" s="54">
        <f t="shared" si="3"/>
        <v>0</v>
      </c>
      <c r="AB5" s="53">
        <f t="shared" si="3"/>
        <v>0</v>
      </c>
      <c r="AC5" s="53">
        <f t="shared" si="3"/>
        <v>0</v>
      </c>
      <c r="AD5" s="53">
        <f t="shared" si="3"/>
        <v>0</v>
      </c>
      <c r="AE5" s="53">
        <f t="shared" si="3"/>
        <v>0</v>
      </c>
      <c r="AF5" s="53">
        <f t="shared" si="3"/>
        <v>0</v>
      </c>
      <c r="AG5" s="53">
        <f t="shared" si="3"/>
        <v>0</v>
      </c>
      <c r="AH5" s="53">
        <f t="shared" si="3"/>
        <v>0</v>
      </c>
      <c r="AI5" s="53">
        <f t="shared" si="3"/>
        <v>0</v>
      </c>
      <c r="AJ5" s="53">
        <f t="shared" si="3"/>
        <v>0</v>
      </c>
      <c r="AK5" s="53">
        <f t="shared" si="3"/>
        <v>0</v>
      </c>
      <c r="AL5" s="53">
        <f t="shared" si="3"/>
        <v>0</v>
      </c>
    </row>
    <row r="6">
      <c r="A6" s="40"/>
      <c r="B6" s="55" t="s">
        <v>40</v>
      </c>
      <c r="C6" s="36">
        <v>0.0</v>
      </c>
      <c r="D6" s="36">
        <f t="shared" ref="D6:AL6" si="4">C6</f>
        <v>0</v>
      </c>
      <c r="E6" s="36">
        <f t="shared" si="4"/>
        <v>0</v>
      </c>
      <c r="F6" s="36">
        <f t="shared" si="4"/>
        <v>0</v>
      </c>
      <c r="G6" s="36">
        <f t="shared" si="4"/>
        <v>0</v>
      </c>
      <c r="H6" s="36">
        <f t="shared" si="4"/>
        <v>0</v>
      </c>
      <c r="I6" s="36">
        <f t="shared" si="4"/>
        <v>0</v>
      </c>
      <c r="J6" s="36">
        <f t="shared" si="4"/>
        <v>0</v>
      </c>
      <c r="K6" s="36">
        <f t="shared" si="4"/>
        <v>0</v>
      </c>
      <c r="L6" s="36">
        <f t="shared" si="4"/>
        <v>0</v>
      </c>
      <c r="M6" s="36">
        <f t="shared" si="4"/>
        <v>0</v>
      </c>
      <c r="N6" s="36">
        <f t="shared" si="4"/>
        <v>0</v>
      </c>
      <c r="O6" s="56">
        <f t="shared" si="4"/>
        <v>0</v>
      </c>
      <c r="P6" s="36">
        <f t="shared" si="4"/>
        <v>0</v>
      </c>
      <c r="Q6" s="36">
        <f t="shared" si="4"/>
        <v>0</v>
      </c>
      <c r="R6" s="36">
        <f t="shared" si="4"/>
        <v>0</v>
      </c>
      <c r="S6" s="36">
        <f t="shared" si="4"/>
        <v>0</v>
      </c>
      <c r="T6" s="36">
        <f t="shared" si="4"/>
        <v>0</v>
      </c>
      <c r="U6" s="36">
        <f t="shared" si="4"/>
        <v>0</v>
      </c>
      <c r="V6" s="36">
        <f t="shared" si="4"/>
        <v>0</v>
      </c>
      <c r="W6" s="36">
        <f t="shared" si="4"/>
        <v>0</v>
      </c>
      <c r="X6" s="36">
        <f t="shared" si="4"/>
        <v>0</v>
      </c>
      <c r="Y6" s="36">
        <f t="shared" si="4"/>
        <v>0</v>
      </c>
      <c r="Z6" s="36">
        <f t="shared" si="4"/>
        <v>0</v>
      </c>
      <c r="AA6" s="56">
        <f t="shared" si="4"/>
        <v>0</v>
      </c>
      <c r="AB6" s="36">
        <f t="shared" si="4"/>
        <v>0</v>
      </c>
      <c r="AC6" s="36">
        <f t="shared" si="4"/>
        <v>0</v>
      </c>
      <c r="AD6" s="36">
        <f t="shared" si="4"/>
        <v>0</v>
      </c>
      <c r="AE6" s="36">
        <f t="shared" si="4"/>
        <v>0</v>
      </c>
      <c r="AF6" s="36">
        <f t="shared" si="4"/>
        <v>0</v>
      </c>
      <c r="AG6" s="36">
        <f t="shared" si="4"/>
        <v>0</v>
      </c>
      <c r="AH6" s="36">
        <f t="shared" si="4"/>
        <v>0</v>
      </c>
      <c r="AI6" s="36">
        <f t="shared" si="4"/>
        <v>0</v>
      </c>
      <c r="AJ6" s="36">
        <f t="shared" si="4"/>
        <v>0</v>
      </c>
      <c r="AK6" s="36">
        <f t="shared" si="4"/>
        <v>0</v>
      </c>
      <c r="AL6" s="36">
        <f t="shared" si="4"/>
        <v>0</v>
      </c>
    </row>
    <row r="7">
      <c r="A7" s="40"/>
      <c r="B7" s="55" t="s">
        <v>41</v>
      </c>
      <c r="C7" s="36">
        <v>0.0</v>
      </c>
      <c r="D7" s="36">
        <f t="shared" ref="D7:AL7" si="5">C7</f>
        <v>0</v>
      </c>
      <c r="E7" s="36">
        <f t="shared" si="5"/>
        <v>0</v>
      </c>
      <c r="F7" s="36">
        <f t="shared" si="5"/>
        <v>0</v>
      </c>
      <c r="G7" s="36">
        <f t="shared" si="5"/>
        <v>0</v>
      </c>
      <c r="H7" s="36">
        <f t="shared" si="5"/>
        <v>0</v>
      </c>
      <c r="I7" s="36">
        <f t="shared" si="5"/>
        <v>0</v>
      </c>
      <c r="J7" s="36">
        <f t="shared" si="5"/>
        <v>0</v>
      </c>
      <c r="K7" s="36">
        <f t="shared" si="5"/>
        <v>0</v>
      </c>
      <c r="L7" s="36">
        <f t="shared" si="5"/>
        <v>0</v>
      </c>
      <c r="M7" s="36">
        <f t="shared" si="5"/>
        <v>0</v>
      </c>
      <c r="N7" s="36">
        <f t="shared" si="5"/>
        <v>0</v>
      </c>
      <c r="O7" s="56">
        <f t="shared" si="5"/>
        <v>0</v>
      </c>
      <c r="P7" s="36">
        <f t="shared" si="5"/>
        <v>0</v>
      </c>
      <c r="Q7" s="36">
        <f t="shared" si="5"/>
        <v>0</v>
      </c>
      <c r="R7" s="36">
        <f t="shared" si="5"/>
        <v>0</v>
      </c>
      <c r="S7" s="36">
        <f t="shared" si="5"/>
        <v>0</v>
      </c>
      <c r="T7" s="36">
        <f t="shared" si="5"/>
        <v>0</v>
      </c>
      <c r="U7" s="36">
        <f t="shared" si="5"/>
        <v>0</v>
      </c>
      <c r="V7" s="36">
        <f t="shared" si="5"/>
        <v>0</v>
      </c>
      <c r="W7" s="36">
        <f t="shared" si="5"/>
        <v>0</v>
      </c>
      <c r="X7" s="36">
        <f t="shared" si="5"/>
        <v>0</v>
      </c>
      <c r="Y7" s="36">
        <f t="shared" si="5"/>
        <v>0</v>
      </c>
      <c r="Z7" s="36">
        <f t="shared" si="5"/>
        <v>0</v>
      </c>
      <c r="AA7" s="56">
        <f t="shared" si="5"/>
        <v>0</v>
      </c>
      <c r="AB7" s="36">
        <f t="shared" si="5"/>
        <v>0</v>
      </c>
      <c r="AC7" s="36">
        <f t="shared" si="5"/>
        <v>0</v>
      </c>
      <c r="AD7" s="36">
        <f t="shared" si="5"/>
        <v>0</v>
      </c>
      <c r="AE7" s="36">
        <f t="shared" si="5"/>
        <v>0</v>
      </c>
      <c r="AF7" s="36">
        <f t="shared" si="5"/>
        <v>0</v>
      </c>
      <c r="AG7" s="36">
        <f t="shared" si="5"/>
        <v>0</v>
      </c>
      <c r="AH7" s="36">
        <f t="shared" si="5"/>
        <v>0</v>
      </c>
      <c r="AI7" s="36">
        <f t="shared" si="5"/>
        <v>0</v>
      </c>
      <c r="AJ7" s="36">
        <f t="shared" si="5"/>
        <v>0</v>
      </c>
      <c r="AK7" s="36">
        <f t="shared" si="5"/>
        <v>0</v>
      </c>
      <c r="AL7" s="36">
        <f t="shared" si="5"/>
        <v>0</v>
      </c>
    </row>
    <row r="8">
      <c r="A8" s="40"/>
      <c r="B8" s="55" t="s">
        <v>42</v>
      </c>
      <c r="C8" s="36">
        <v>0.0</v>
      </c>
      <c r="D8" s="36">
        <f t="shared" ref="D8:AL8" si="6">C8</f>
        <v>0</v>
      </c>
      <c r="E8" s="36">
        <f t="shared" si="6"/>
        <v>0</v>
      </c>
      <c r="F8" s="36">
        <f t="shared" si="6"/>
        <v>0</v>
      </c>
      <c r="G8" s="36">
        <f t="shared" si="6"/>
        <v>0</v>
      </c>
      <c r="H8" s="36">
        <f t="shared" si="6"/>
        <v>0</v>
      </c>
      <c r="I8" s="36">
        <f t="shared" si="6"/>
        <v>0</v>
      </c>
      <c r="J8" s="36">
        <f t="shared" si="6"/>
        <v>0</v>
      </c>
      <c r="K8" s="36">
        <f t="shared" si="6"/>
        <v>0</v>
      </c>
      <c r="L8" s="36">
        <f t="shared" si="6"/>
        <v>0</v>
      </c>
      <c r="M8" s="36">
        <f t="shared" si="6"/>
        <v>0</v>
      </c>
      <c r="N8" s="36">
        <f t="shared" si="6"/>
        <v>0</v>
      </c>
      <c r="O8" s="56">
        <f t="shared" si="6"/>
        <v>0</v>
      </c>
      <c r="P8" s="36">
        <f t="shared" si="6"/>
        <v>0</v>
      </c>
      <c r="Q8" s="36">
        <f t="shared" si="6"/>
        <v>0</v>
      </c>
      <c r="R8" s="36">
        <f t="shared" si="6"/>
        <v>0</v>
      </c>
      <c r="S8" s="36">
        <f t="shared" si="6"/>
        <v>0</v>
      </c>
      <c r="T8" s="36">
        <f t="shared" si="6"/>
        <v>0</v>
      </c>
      <c r="U8" s="36">
        <f t="shared" si="6"/>
        <v>0</v>
      </c>
      <c r="V8" s="36">
        <f t="shared" si="6"/>
        <v>0</v>
      </c>
      <c r="W8" s="36">
        <f t="shared" si="6"/>
        <v>0</v>
      </c>
      <c r="X8" s="36">
        <f t="shared" si="6"/>
        <v>0</v>
      </c>
      <c r="Y8" s="36">
        <f t="shared" si="6"/>
        <v>0</v>
      </c>
      <c r="Z8" s="36">
        <f t="shared" si="6"/>
        <v>0</v>
      </c>
      <c r="AA8" s="56">
        <f t="shared" si="6"/>
        <v>0</v>
      </c>
      <c r="AB8" s="36">
        <f t="shared" si="6"/>
        <v>0</v>
      </c>
      <c r="AC8" s="36">
        <f t="shared" si="6"/>
        <v>0</v>
      </c>
      <c r="AD8" s="36">
        <f t="shared" si="6"/>
        <v>0</v>
      </c>
      <c r="AE8" s="36">
        <f t="shared" si="6"/>
        <v>0</v>
      </c>
      <c r="AF8" s="36">
        <f t="shared" si="6"/>
        <v>0</v>
      </c>
      <c r="AG8" s="36">
        <f t="shared" si="6"/>
        <v>0</v>
      </c>
      <c r="AH8" s="36">
        <f t="shared" si="6"/>
        <v>0</v>
      </c>
      <c r="AI8" s="36">
        <f t="shared" si="6"/>
        <v>0</v>
      </c>
      <c r="AJ8" s="36">
        <f t="shared" si="6"/>
        <v>0</v>
      </c>
      <c r="AK8" s="36">
        <f t="shared" si="6"/>
        <v>0</v>
      </c>
      <c r="AL8" s="36">
        <f t="shared" si="6"/>
        <v>0</v>
      </c>
    </row>
    <row r="9">
      <c r="A9" s="40"/>
      <c r="B9" s="55" t="s">
        <v>43</v>
      </c>
      <c r="C9" s="36">
        <v>0.0</v>
      </c>
      <c r="D9" s="36">
        <f t="shared" ref="D9:AL9" si="7">C9</f>
        <v>0</v>
      </c>
      <c r="E9" s="36">
        <f t="shared" si="7"/>
        <v>0</v>
      </c>
      <c r="F9" s="36">
        <f t="shared" si="7"/>
        <v>0</v>
      </c>
      <c r="G9" s="36">
        <f t="shared" si="7"/>
        <v>0</v>
      </c>
      <c r="H9" s="36">
        <f t="shared" si="7"/>
        <v>0</v>
      </c>
      <c r="I9" s="36">
        <f t="shared" si="7"/>
        <v>0</v>
      </c>
      <c r="J9" s="36">
        <f t="shared" si="7"/>
        <v>0</v>
      </c>
      <c r="K9" s="36">
        <f t="shared" si="7"/>
        <v>0</v>
      </c>
      <c r="L9" s="36">
        <f t="shared" si="7"/>
        <v>0</v>
      </c>
      <c r="M9" s="36">
        <f t="shared" si="7"/>
        <v>0</v>
      </c>
      <c r="N9" s="36">
        <f t="shared" si="7"/>
        <v>0</v>
      </c>
      <c r="O9" s="56">
        <f t="shared" si="7"/>
        <v>0</v>
      </c>
      <c r="P9" s="36">
        <f t="shared" si="7"/>
        <v>0</v>
      </c>
      <c r="Q9" s="36">
        <f t="shared" si="7"/>
        <v>0</v>
      </c>
      <c r="R9" s="36">
        <f t="shared" si="7"/>
        <v>0</v>
      </c>
      <c r="S9" s="36">
        <f t="shared" si="7"/>
        <v>0</v>
      </c>
      <c r="T9" s="36">
        <f t="shared" si="7"/>
        <v>0</v>
      </c>
      <c r="U9" s="36">
        <f t="shared" si="7"/>
        <v>0</v>
      </c>
      <c r="V9" s="36">
        <f t="shared" si="7"/>
        <v>0</v>
      </c>
      <c r="W9" s="36">
        <f t="shared" si="7"/>
        <v>0</v>
      </c>
      <c r="X9" s="36">
        <f t="shared" si="7"/>
        <v>0</v>
      </c>
      <c r="Y9" s="36">
        <f t="shared" si="7"/>
        <v>0</v>
      </c>
      <c r="Z9" s="36">
        <f t="shared" si="7"/>
        <v>0</v>
      </c>
      <c r="AA9" s="56">
        <f t="shared" si="7"/>
        <v>0</v>
      </c>
      <c r="AB9" s="36">
        <f t="shared" si="7"/>
        <v>0</v>
      </c>
      <c r="AC9" s="36">
        <f t="shared" si="7"/>
        <v>0</v>
      </c>
      <c r="AD9" s="36">
        <f t="shared" si="7"/>
        <v>0</v>
      </c>
      <c r="AE9" s="36">
        <f t="shared" si="7"/>
        <v>0</v>
      </c>
      <c r="AF9" s="36">
        <f t="shared" si="7"/>
        <v>0</v>
      </c>
      <c r="AG9" s="36">
        <f t="shared" si="7"/>
        <v>0</v>
      </c>
      <c r="AH9" s="36">
        <f t="shared" si="7"/>
        <v>0</v>
      </c>
      <c r="AI9" s="36">
        <f t="shared" si="7"/>
        <v>0</v>
      </c>
      <c r="AJ9" s="36">
        <f t="shared" si="7"/>
        <v>0</v>
      </c>
      <c r="AK9" s="36">
        <f t="shared" si="7"/>
        <v>0</v>
      </c>
      <c r="AL9" s="36">
        <f t="shared" si="7"/>
        <v>0</v>
      </c>
    </row>
    <row r="10">
      <c r="A10" s="40"/>
      <c r="B10" s="55" t="s">
        <v>44</v>
      </c>
      <c r="C10" s="36">
        <v>0.0</v>
      </c>
      <c r="D10" s="36">
        <f t="shared" ref="D10:AL10" si="8">C10</f>
        <v>0</v>
      </c>
      <c r="E10" s="36">
        <f t="shared" si="8"/>
        <v>0</v>
      </c>
      <c r="F10" s="36">
        <f t="shared" si="8"/>
        <v>0</v>
      </c>
      <c r="G10" s="36">
        <f t="shared" si="8"/>
        <v>0</v>
      </c>
      <c r="H10" s="36">
        <f t="shared" si="8"/>
        <v>0</v>
      </c>
      <c r="I10" s="36">
        <f t="shared" si="8"/>
        <v>0</v>
      </c>
      <c r="J10" s="36">
        <f t="shared" si="8"/>
        <v>0</v>
      </c>
      <c r="K10" s="36">
        <f t="shared" si="8"/>
        <v>0</v>
      </c>
      <c r="L10" s="36">
        <f t="shared" si="8"/>
        <v>0</v>
      </c>
      <c r="M10" s="36">
        <f t="shared" si="8"/>
        <v>0</v>
      </c>
      <c r="N10" s="36">
        <f t="shared" si="8"/>
        <v>0</v>
      </c>
      <c r="O10" s="56">
        <f t="shared" si="8"/>
        <v>0</v>
      </c>
      <c r="P10" s="36">
        <f t="shared" si="8"/>
        <v>0</v>
      </c>
      <c r="Q10" s="36">
        <f t="shared" si="8"/>
        <v>0</v>
      </c>
      <c r="R10" s="36">
        <f t="shared" si="8"/>
        <v>0</v>
      </c>
      <c r="S10" s="36">
        <f t="shared" si="8"/>
        <v>0</v>
      </c>
      <c r="T10" s="36">
        <f t="shared" si="8"/>
        <v>0</v>
      </c>
      <c r="U10" s="36">
        <f t="shared" si="8"/>
        <v>0</v>
      </c>
      <c r="V10" s="36">
        <f t="shared" si="8"/>
        <v>0</v>
      </c>
      <c r="W10" s="36">
        <f t="shared" si="8"/>
        <v>0</v>
      </c>
      <c r="X10" s="36">
        <f t="shared" si="8"/>
        <v>0</v>
      </c>
      <c r="Y10" s="36">
        <f t="shared" si="8"/>
        <v>0</v>
      </c>
      <c r="Z10" s="36">
        <f t="shared" si="8"/>
        <v>0</v>
      </c>
      <c r="AA10" s="56">
        <f t="shared" si="8"/>
        <v>0</v>
      </c>
      <c r="AB10" s="36">
        <f t="shared" si="8"/>
        <v>0</v>
      </c>
      <c r="AC10" s="36">
        <f t="shared" si="8"/>
        <v>0</v>
      </c>
      <c r="AD10" s="36">
        <f t="shared" si="8"/>
        <v>0</v>
      </c>
      <c r="AE10" s="36">
        <f t="shared" si="8"/>
        <v>0</v>
      </c>
      <c r="AF10" s="36">
        <f t="shared" si="8"/>
        <v>0</v>
      </c>
      <c r="AG10" s="36">
        <f t="shared" si="8"/>
        <v>0</v>
      </c>
      <c r="AH10" s="36">
        <f t="shared" si="8"/>
        <v>0</v>
      </c>
      <c r="AI10" s="36">
        <f t="shared" si="8"/>
        <v>0</v>
      </c>
      <c r="AJ10" s="36">
        <f t="shared" si="8"/>
        <v>0</v>
      </c>
      <c r="AK10" s="36">
        <f t="shared" si="8"/>
        <v>0</v>
      </c>
      <c r="AL10" s="36">
        <f t="shared" si="8"/>
        <v>0</v>
      </c>
    </row>
    <row r="11">
      <c r="A11" s="40"/>
      <c r="B11" s="55" t="s">
        <v>45</v>
      </c>
      <c r="C11" s="36">
        <v>0.0</v>
      </c>
      <c r="D11" s="36">
        <f t="shared" ref="D11:AL11" si="9">C11</f>
        <v>0</v>
      </c>
      <c r="E11" s="36">
        <f t="shared" si="9"/>
        <v>0</v>
      </c>
      <c r="F11" s="36">
        <f t="shared" si="9"/>
        <v>0</v>
      </c>
      <c r="G11" s="36">
        <f t="shared" si="9"/>
        <v>0</v>
      </c>
      <c r="H11" s="36">
        <f t="shared" si="9"/>
        <v>0</v>
      </c>
      <c r="I11" s="36">
        <f t="shared" si="9"/>
        <v>0</v>
      </c>
      <c r="J11" s="36">
        <f t="shared" si="9"/>
        <v>0</v>
      </c>
      <c r="K11" s="36">
        <f t="shared" si="9"/>
        <v>0</v>
      </c>
      <c r="L11" s="36">
        <f t="shared" si="9"/>
        <v>0</v>
      </c>
      <c r="M11" s="36">
        <f t="shared" si="9"/>
        <v>0</v>
      </c>
      <c r="N11" s="36">
        <f t="shared" si="9"/>
        <v>0</v>
      </c>
      <c r="O11" s="56">
        <f t="shared" si="9"/>
        <v>0</v>
      </c>
      <c r="P11" s="36">
        <f t="shared" si="9"/>
        <v>0</v>
      </c>
      <c r="Q11" s="36">
        <f t="shared" si="9"/>
        <v>0</v>
      </c>
      <c r="R11" s="36">
        <f t="shared" si="9"/>
        <v>0</v>
      </c>
      <c r="S11" s="36">
        <f t="shared" si="9"/>
        <v>0</v>
      </c>
      <c r="T11" s="36">
        <f t="shared" si="9"/>
        <v>0</v>
      </c>
      <c r="U11" s="36">
        <f t="shared" si="9"/>
        <v>0</v>
      </c>
      <c r="V11" s="36">
        <f t="shared" si="9"/>
        <v>0</v>
      </c>
      <c r="W11" s="36">
        <f t="shared" si="9"/>
        <v>0</v>
      </c>
      <c r="X11" s="36">
        <f t="shared" si="9"/>
        <v>0</v>
      </c>
      <c r="Y11" s="36">
        <f t="shared" si="9"/>
        <v>0</v>
      </c>
      <c r="Z11" s="36">
        <f t="shared" si="9"/>
        <v>0</v>
      </c>
      <c r="AA11" s="56">
        <f t="shared" si="9"/>
        <v>0</v>
      </c>
      <c r="AB11" s="36">
        <f t="shared" si="9"/>
        <v>0</v>
      </c>
      <c r="AC11" s="36">
        <f t="shared" si="9"/>
        <v>0</v>
      </c>
      <c r="AD11" s="36">
        <f t="shared" si="9"/>
        <v>0</v>
      </c>
      <c r="AE11" s="36">
        <f t="shared" si="9"/>
        <v>0</v>
      </c>
      <c r="AF11" s="36">
        <f t="shared" si="9"/>
        <v>0</v>
      </c>
      <c r="AG11" s="36">
        <f t="shared" si="9"/>
        <v>0</v>
      </c>
      <c r="AH11" s="36">
        <f t="shared" si="9"/>
        <v>0</v>
      </c>
      <c r="AI11" s="36">
        <f t="shared" si="9"/>
        <v>0</v>
      </c>
      <c r="AJ11" s="36">
        <f t="shared" si="9"/>
        <v>0</v>
      </c>
      <c r="AK11" s="36">
        <f t="shared" si="9"/>
        <v>0</v>
      </c>
      <c r="AL11" s="36">
        <f t="shared" si="9"/>
        <v>0</v>
      </c>
    </row>
    <row r="12">
      <c r="A12" s="40"/>
      <c r="B12" s="55" t="s">
        <v>46</v>
      </c>
      <c r="C12" s="36">
        <v>0.0</v>
      </c>
      <c r="D12" s="36">
        <f t="shared" ref="D12:AL12" si="10">C12</f>
        <v>0</v>
      </c>
      <c r="E12" s="36">
        <f t="shared" si="10"/>
        <v>0</v>
      </c>
      <c r="F12" s="36">
        <f t="shared" si="10"/>
        <v>0</v>
      </c>
      <c r="G12" s="36">
        <f t="shared" si="10"/>
        <v>0</v>
      </c>
      <c r="H12" s="36">
        <f t="shared" si="10"/>
        <v>0</v>
      </c>
      <c r="I12" s="36">
        <f t="shared" si="10"/>
        <v>0</v>
      </c>
      <c r="J12" s="36">
        <f t="shared" si="10"/>
        <v>0</v>
      </c>
      <c r="K12" s="36">
        <f t="shared" si="10"/>
        <v>0</v>
      </c>
      <c r="L12" s="36">
        <f t="shared" si="10"/>
        <v>0</v>
      </c>
      <c r="M12" s="36">
        <f t="shared" si="10"/>
        <v>0</v>
      </c>
      <c r="N12" s="36">
        <f t="shared" si="10"/>
        <v>0</v>
      </c>
      <c r="O12" s="56">
        <f t="shared" si="10"/>
        <v>0</v>
      </c>
      <c r="P12" s="36">
        <f t="shared" si="10"/>
        <v>0</v>
      </c>
      <c r="Q12" s="36">
        <f t="shared" si="10"/>
        <v>0</v>
      </c>
      <c r="R12" s="36">
        <f t="shared" si="10"/>
        <v>0</v>
      </c>
      <c r="S12" s="36">
        <f t="shared" si="10"/>
        <v>0</v>
      </c>
      <c r="T12" s="36">
        <f t="shared" si="10"/>
        <v>0</v>
      </c>
      <c r="U12" s="36">
        <f t="shared" si="10"/>
        <v>0</v>
      </c>
      <c r="V12" s="36">
        <f t="shared" si="10"/>
        <v>0</v>
      </c>
      <c r="W12" s="36">
        <f t="shared" si="10"/>
        <v>0</v>
      </c>
      <c r="X12" s="36">
        <f t="shared" si="10"/>
        <v>0</v>
      </c>
      <c r="Y12" s="36">
        <f t="shared" si="10"/>
        <v>0</v>
      </c>
      <c r="Z12" s="36">
        <f t="shared" si="10"/>
        <v>0</v>
      </c>
      <c r="AA12" s="56">
        <f t="shared" si="10"/>
        <v>0</v>
      </c>
      <c r="AB12" s="36">
        <f t="shared" si="10"/>
        <v>0</v>
      </c>
      <c r="AC12" s="36">
        <f t="shared" si="10"/>
        <v>0</v>
      </c>
      <c r="AD12" s="36">
        <f t="shared" si="10"/>
        <v>0</v>
      </c>
      <c r="AE12" s="36">
        <f t="shared" si="10"/>
        <v>0</v>
      </c>
      <c r="AF12" s="36">
        <f t="shared" si="10"/>
        <v>0</v>
      </c>
      <c r="AG12" s="36">
        <f t="shared" si="10"/>
        <v>0</v>
      </c>
      <c r="AH12" s="36">
        <f t="shared" si="10"/>
        <v>0</v>
      </c>
      <c r="AI12" s="36">
        <f t="shared" si="10"/>
        <v>0</v>
      </c>
      <c r="AJ12" s="36">
        <f t="shared" si="10"/>
        <v>0</v>
      </c>
      <c r="AK12" s="36">
        <f t="shared" si="10"/>
        <v>0</v>
      </c>
      <c r="AL12" s="36">
        <f t="shared" si="10"/>
        <v>0</v>
      </c>
    </row>
    <row r="13">
      <c r="A13" s="40"/>
      <c r="B13" s="57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5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5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</row>
    <row r="14">
      <c r="A14" s="58"/>
      <c r="B14" s="59" t="s">
        <v>47</v>
      </c>
      <c r="C14" s="60">
        <f t="shared" ref="C14:AL14" si="11">sum(C15:C21)</f>
        <v>0</v>
      </c>
      <c r="D14" s="60">
        <f t="shared" si="11"/>
        <v>0</v>
      </c>
      <c r="E14" s="60">
        <f t="shared" si="11"/>
        <v>0</v>
      </c>
      <c r="F14" s="60">
        <f t="shared" si="11"/>
        <v>0</v>
      </c>
      <c r="G14" s="60">
        <f t="shared" si="11"/>
        <v>0</v>
      </c>
      <c r="H14" s="60">
        <f t="shared" si="11"/>
        <v>0</v>
      </c>
      <c r="I14" s="60">
        <f t="shared" si="11"/>
        <v>0</v>
      </c>
      <c r="J14" s="60">
        <f t="shared" si="11"/>
        <v>0</v>
      </c>
      <c r="K14" s="60">
        <f t="shared" si="11"/>
        <v>0</v>
      </c>
      <c r="L14" s="60">
        <f t="shared" si="11"/>
        <v>0</v>
      </c>
      <c r="M14" s="60">
        <f t="shared" si="11"/>
        <v>0</v>
      </c>
      <c r="N14" s="60">
        <f t="shared" si="11"/>
        <v>0</v>
      </c>
      <c r="O14" s="61">
        <f t="shared" si="11"/>
        <v>0</v>
      </c>
      <c r="P14" s="60">
        <f t="shared" si="11"/>
        <v>0</v>
      </c>
      <c r="Q14" s="60">
        <f t="shared" si="11"/>
        <v>0</v>
      </c>
      <c r="R14" s="60">
        <f t="shared" si="11"/>
        <v>0</v>
      </c>
      <c r="S14" s="60">
        <f t="shared" si="11"/>
        <v>0</v>
      </c>
      <c r="T14" s="60">
        <f t="shared" si="11"/>
        <v>0</v>
      </c>
      <c r="U14" s="60">
        <f t="shared" si="11"/>
        <v>0</v>
      </c>
      <c r="V14" s="60">
        <f t="shared" si="11"/>
        <v>0</v>
      </c>
      <c r="W14" s="60">
        <f t="shared" si="11"/>
        <v>0</v>
      </c>
      <c r="X14" s="60">
        <f t="shared" si="11"/>
        <v>0</v>
      </c>
      <c r="Y14" s="60">
        <f t="shared" si="11"/>
        <v>0</v>
      </c>
      <c r="Z14" s="60">
        <f t="shared" si="11"/>
        <v>0</v>
      </c>
      <c r="AA14" s="61">
        <f t="shared" si="11"/>
        <v>0</v>
      </c>
      <c r="AB14" s="60">
        <f t="shared" si="11"/>
        <v>0</v>
      </c>
      <c r="AC14" s="60">
        <f t="shared" si="11"/>
        <v>0</v>
      </c>
      <c r="AD14" s="60">
        <f t="shared" si="11"/>
        <v>0</v>
      </c>
      <c r="AE14" s="60">
        <f t="shared" si="11"/>
        <v>0</v>
      </c>
      <c r="AF14" s="60">
        <f t="shared" si="11"/>
        <v>0</v>
      </c>
      <c r="AG14" s="60">
        <f t="shared" si="11"/>
        <v>0</v>
      </c>
      <c r="AH14" s="60">
        <f t="shared" si="11"/>
        <v>0</v>
      </c>
      <c r="AI14" s="60">
        <f t="shared" si="11"/>
        <v>0</v>
      </c>
      <c r="AJ14" s="60">
        <f t="shared" si="11"/>
        <v>0</v>
      </c>
      <c r="AK14" s="60">
        <f t="shared" si="11"/>
        <v>0</v>
      </c>
      <c r="AL14" s="60">
        <f t="shared" si="11"/>
        <v>0</v>
      </c>
    </row>
    <row r="15">
      <c r="A15" s="40"/>
      <c r="B15" s="55" t="s">
        <v>40</v>
      </c>
      <c r="C15" s="36">
        <v>0.0</v>
      </c>
      <c r="D15" s="36">
        <f t="shared" ref="D15:AL15" si="12">C15</f>
        <v>0</v>
      </c>
      <c r="E15" s="36">
        <f t="shared" si="12"/>
        <v>0</v>
      </c>
      <c r="F15" s="36">
        <f t="shared" si="12"/>
        <v>0</v>
      </c>
      <c r="G15" s="36">
        <f t="shared" si="12"/>
        <v>0</v>
      </c>
      <c r="H15" s="36">
        <f t="shared" si="12"/>
        <v>0</v>
      </c>
      <c r="I15" s="36">
        <f t="shared" si="12"/>
        <v>0</v>
      </c>
      <c r="J15" s="36">
        <f t="shared" si="12"/>
        <v>0</v>
      </c>
      <c r="K15" s="36">
        <f t="shared" si="12"/>
        <v>0</v>
      </c>
      <c r="L15" s="36">
        <f t="shared" si="12"/>
        <v>0</v>
      </c>
      <c r="M15" s="36">
        <f t="shared" si="12"/>
        <v>0</v>
      </c>
      <c r="N15" s="36">
        <f t="shared" si="12"/>
        <v>0</v>
      </c>
      <c r="O15" s="56">
        <f t="shared" si="12"/>
        <v>0</v>
      </c>
      <c r="P15" s="36">
        <f t="shared" si="12"/>
        <v>0</v>
      </c>
      <c r="Q15" s="36">
        <f t="shared" si="12"/>
        <v>0</v>
      </c>
      <c r="R15" s="36">
        <f t="shared" si="12"/>
        <v>0</v>
      </c>
      <c r="S15" s="36">
        <f t="shared" si="12"/>
        <v>0</v>
      </c>
      <c r="T15" s="36">
        <f t="shared" si="12"/>
        <v>0</v>
      </c>
      <c r="U15" s="36">
        <f t="shared" si="12"/>
        <v>0</v>
      </c>
      <c r="V15" s="36">
        <f t="shared" si="12"/>
        <v>0</v>
      </c>
      <c r="W15" s="36">
        <f t="shared" si="12"/>
        <v>0</v>
      </c>
      <c r="X15" s="36">
        <f t="shared" si="12"/>
        <v>0</v>
      </c>
      <c r="Y15" s="36">
        <f t="shared" si="12"/>
        <v>0</v>
      </c>
      <c r="Z15" s="36">
        <f t="shared" si="12"/>
        <v>0</v>
      </c>
      <c r="AA15" s="56">
        <f t="shared" si="12"/>
        <v>0</v>
      </c>
      <c r="AB15" s="36">
        <f t="shared" si="12"/>
        <v>0</v>
      </c>
      <c r="AC15" s="36">
        <f t="shared" si="12"/>
        <v>0</v>
      </c>
      <c r="AD15" s="36">
        <f t="shared" si="12"/>
        <v>0</v>
      </c>
      <c r="AE15" s="36">
        <f t="shared" si="12"/>
        <v>0</v>
      </c>
      <c r="AF15" s="36">
        <f t="shared" si="12"/>
        <v>0</v>
      </c>
      <c r="AG15" s="36">
        <f t="shared" si="12"/>
        <v>0</v>
      </c>
      <c r="AH15" s="36">
        <f t="shared" si="12"/>
        <v>0</v>
      </c>
      <c r="AI15" s="36">
        <f t="shared" si="12"/>
        <v>0</v>
      </c>
      <c r="AJ15" s="36">
        <f t="shared" si="12"/>
        <v>0</v>
      </c>
      <c r="AK15" s="36">
        <f t="shared" si="12"/>
        <v>0</v>
      </c>
      <c r="AL15" s="36">
        <f t="shared" si="12"/>
        <v>0</v>
      </c>
    </row>
    <row r="16">
      <c r="A16" s="40"/>
      <c r="B16" s="55" t="s">
        <v>41</v>
      </c>
      <c r="C16" s="36">
        <v>0.0</v>
      </c>
      <c r="D16" s="36">
        <f t="shared" ref="D16:AL16" si="13">C16</f>
        <v>0</v>
      </c>
      <c r="E16" s="36">
        <f t="shared" si="13"/>
        <v>0</v>
      </c>
      <c r="F16" s="36">
        <f t="shared" si="13"/>
        <v>0</v>
      </c>
      <c r="G16" s="36">
        <f t="shared" si="13"/>
        <v>0</v>
      </c>
      <c r="H16" s="36">
        <f t="shared" si="13"/>
        <v>0</v>
      </c>
      <c r="I16" s="36">
        <f t="shared" si="13"/>
        <v>0</v>
      </c>
      <c r="J16" s="36">
        <f t="shared" si="13"/>
        <v>0</v>
      </c>
      <c r="K16" s="36">
        <f t="shared" si="13"/>
        <v>0</v>
      </c>
      <c r="L16" s="36">
        <f t="shared" si="13"/>
        <v>0</v>
      </c>
      <c r="M16" s="36">
        <f t="shared" si="13"/>
        <v>0</v>
      </c>
      <c r="N16" s="36">
        <f t="shared" si="13"/>
        <v>0</v>
      </c>
      <c r="O16" s="56">
        <f t="shared" si="13"/>
        <v>0</v>
      </c>
      <c r="P16" s="36">
        <f t="shared" si="13"/>
        <v>0</v>
      </c>
      <c r="Q16" s="36">
        <f t="shared" si="13"/>
        <v>0</v>
      </c>
      <c r="R16" s="36">
        <f t="shared" si="13"/>
        <v>0</v>
      </c>
      <c r="S16" s="36">
        <f t="shared" si="13"/>
        <v>0</v>
      </c>
      <c r="T16" s="36">
        <f t="shared" si="13"/>
        <v>0</v>
      </c>
      <c r="U16" s="36">
        <f t="shared" si="13"/>
        <v>0</v>
      </c>
      <c r="V16" s="36">
        <f t="shared" si="13"/>
        <v>0</v>
      </c>
      <c r="W16" s="36">
        <f t="shared" si="13"/>
        <v>0</v>
      </c>
      <c r="X16" s="36">
        <f t="shared" si="13"/>
        <v>0</v>
      </c>
      <c r="Y16" s="36">
        <f t="shared" si="13"/>
        <v>0</v>
      </c>
      <c r="Z16" s="36">
        <f t="shared" si="13"/>
        <v>0</v>
      </c>
      <c r="AA16" s="56">
        <f t="shared" si="13"/>
        <v>0</v>
      </c>
      <c r="AB16" s="36">
        <f t="shared" si="13"/>
        <v>0</v>
      </c>
      <c r="AC16" s="36">
        <f t="shared" si="13"/>
        <v>0</v>
      </c>
      <c r="AD16" s="36">
        <f t="shared" si="13"/>
        <v>0</v>
      </c>
      <c r="AE16" s="36">
        <f t="shared" si="13"/>
        <v>0</v>
      </c>
      <c r="AF16" s="36">
        <f t="shared" si="13"/>
        <v>0</v>
      </c>
      <c r="AG16" s="36">
        <f t="shared" si="13"/>
        <v>0</v>
      </c>
      <c r="AH16" s="36">
        <f t="shared" si="13"/>
        <v>0</v>
      </c>
      <c r="AI16" s="36">
        <f t="shared" si="13"/>
        <v>0</v>
      </c>
      <c r="AJ16" s="36">
        <f t="shared" si="13"/>
        <v>0</v>
      </c>
      <c r="AK16" s="36">
        <f t="shared" si="13"/>
        <v>0</v>
      </c>
      <c r="AL16" s="36">
        <f t="shared" si="13"/>
        <v>0</v>
      </c>
    </row>
    <row r="17">
      <c r="A17" s="40"/>
      <c r="B17" s="55" t="s">
        <v>42</v>
      </c>
      <c r="C17" s="36">
        <v>0.0</v>
      </c>
      <c r="D17" s="36">
        <f t="shared" ref="D17:AL17" si="14">C17</f>
        <v>0</v>
      </c>
      <c r="E17" s="36">
        <f t="shared" si="14"/>
        <v>0</v>
      </c>
      <c r="F17" s="36">
        <f t="shared" si="14"/>
        <v>0</v>
      </c>
      <c r="G17" s="36">
        <f t="shared" si="14"/>
        <v>0</v>
      </c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>
        <f t="shared" si="14"/>
        <v>0</v>
      </c>
      <c r="L17" s="36">
        <f t="shared" si="14"/>
        <v>0</v>
      </c>
      <c r="M17" s="36">
        <f t="shared" si="14"/>
        <v>0</v>
      </c>
      <c r="N17" s="36">
        <f t="shared" si="14"/>
        <v>0</v>
      </c>
      <c r="O17" s="56">
        <f t="shared" si="14"/>
        <v>0</v>
      </c>
      <c r="P17" s="36">
        <f t="shared" si="14"/>
        <v>0</v>
      </c>
      <c r="Q17" s="36">
        <f t="shared" si="14"/>
        <v>0</v>
      </c>
      <c r="R17" s="36">
        <f t="shared" si="14"/>
        <v>0</v>
      </c>
      <c r="S17" s="36">
        <f t="shared" si="14"/>
        <v>0</v>
      </c>
      <c r="T17" s="36">
        <f t="shared" si="14"/>
        <v>0</v>
      </c>
      <c r="U17" s="36">
        <f t="shared" si="14"/>
        <v>0</v>
      </c>
      <c r="V17" s="36">
        <f t="shared" si="14"/>
        <v>0</v>
      </c>
      <c r="W17" s="36">
        <f t="shared" si="14"/>
        <v>0</v>
      </c>
      <c r="X17" s="36">
        <f t="shared" si="14"/>
        <v>0</v>
      </c>
      <c r="Y17" s="36">
        <f t="shared" si="14"/>
        <v>0</v>
      </c>
      <c r="Z17" s="36">
        <f t="shared" si="14"/>
        <v>0</v>
      </c>
      <c r="AA17" s="56">
        <f t="shared" si="14"/>
        <v>0</v>
      </c>
      <c r="AB17" s="36">
        <f t="shared" si="14"/>
        <v>0</v>
      </c>
      <c r="AC17" s="36">
        <f t="shared" si="14"/>
        <v>0</v>
      </c>
      <c r="AD17" s="36">
        <f t="shared" si="14"/>
        <v>0</v>
      </c>
      <c r="AE17" s="36">
        <f t="shared" si="14"/>
        <v>0</v>
      </c>
      <c r="AF17" s="36">
        <f t="shared" si="14"/>
        <v>0</v>
      </c>
      <c r="AG17" s="36">
        <f t="shared" si="14"/>
        <v>0</v>
      </c>
      <c r="AH17" s="36">
        <f t="shared" si="14"/>
        <v>0</v>
      </c>
      <c r="AI17" s="36">
        <f t="shared" si="14"/>
        <v>0</v>
      </c>
      <c r="AJ17" s="36">
        <f t="shared" si="14"/>
        <v>0</v>
      </c>
      <c r="AK17" s="36">
        <f t="shared" si="14"/>
        <v>0</v>
      </c>
      <c r="AL17" s="36">
        <f t="shared" si="14"/>
        <v>0</v>
      </c>
    </row>
    <row r="18">
      <c r="A18" s="40"/>
      <c r="B18" s="55" t="s">
        <v>43</v>
      </c>
      <c r="C18" s="36">
        <v>0.0</v>
      </c>
      <c r="D18" s="36">
        <f t="shared" ref="D18:AL18" si="15">C18</f>
        <v>0</v>
      </c>
      <c r="E18" s="36">
        <f t="shared" si="15"/>
        <v>0</v>
      </c>
      <c r="F18" s="36">
        <f t="shared" si="15"/>
        <v>0</v>
      </c>
      <c r="G18" s="36">
        <f t="shared" si="15"/>
        <v>0</v>
      </c>
      <c r="H18" s="36">
        <f t="shared" si="15"/>
        <v>0</v>
      </c>
      <c r="I18" s="36">
        <f t="shared" si="15"/>
        <v>0</v>
      </c>
      <c r="J18" s="36">
        <f t="shared" si="15"/>
        <v>0</v>
      </c>
      <c r="K18" s="36">
        <f t="shared" si="15"/>
        <v>0</v>
      </c>
      <c r="L18" s="36">
        <f t="shared" si="15"/>
        <v>0</v>
      </c>
      <c r="M18" s="36">
        <f t="shared" si="15"/>
        <v>0</v>
      </c>
      <c r="N18" s="36">
        <f t="shared" si="15"/>
        <v>0</v>
      </c>
      <c r="O18" s="56">
        <f t="shared" si="15"/>
        <v>0</v>
      </c>
      <c r="P18" s="36">
        <f t="shared" si="15"/>
        <v>0</v>
      </c>
      <c r="Q18" s="36">
        <f t="shared" si="15"/>
        <v>0</v>
      </c>
      <c r="R18" s="36">
        <f t="shared" si="15"/>
        <v>0</v>
      </c>
      <c r="S18" s="36">
        <f t="shared" si="15"/>
        <v>0</v>
      </c>
      <c r="T18" s="36">
        <f t="shared" si="15"/>
        <v>0</v>
      </c>
      <c r="U18" s="36">
        <f t="shared" si="15"/>
        <v>0</v>
      </c>
      <c r="V18" s="36">
        <f t="shared" si="15"/>
        <v>0</v>
      </c>
      <c r="W18" s="36">
        <f t="shared" si="15"/>
        <v>0</v>
      </c>
      <c r="X18" s="36">
        <f t="shared" si="15"/>
        <v>0</v>
      </c>
      <c r="Y18" s="36">
        <f t="shared" si="15"/>
        <v>0</v>
      </c>
      <c r="Z18" s="36">
        <f t="shared" si="15"/>
        <v>0</v>
      </c>
      <c r="AA18" s="56">
        <f t="shared" si="15"/>
        <v>0</v>
      </c>
      <c r="AB18" s="36">
        <f t="shared" si="15"/>
        <v>0</v>
      </c>
      <c r="AC18" s="36">
        <f t="shared" si="15"/>
        <v>0</v>
      </c>
      <c r="AD18" s="36">
        <f t="shared" si="15"/>
        <v>0</v>
      </c>
      <c r="AE18" s="36">
        <f t="shared" si="15"/>
        <v>0</v>
      </c>
      <c r="AF18" s="36">
        <f t="shared" si="15"/>
        <v>0</v>
      </c>
      <c r="AG18" s="36">
        <f t="shared" si="15"/>
        <v>0</v>
      </c>
      <c r="AH18" s="36">
        <f t="shared" si="15"/>
        <v>0</v>
      </c>
      <c r="AI18" s="36">
        <f t="shared" si="15"/>
        <v>0</v>
      </c>
      <c r="AJ18" s="36">
        <f t="shared" si="15"/>
        <v>0</v>
      </c>
      <c r="AK18" s="36">
        <f t="shared" si="15"/>
        <v>0</v>
      </c>
      <c r="AL18" s="36">
        <f t="shared" si="15"/>
        <v>0</v>
      </c>
    </row>
    <row r="19">
      <c r="A19" s="40"/>
      <c r="B19" s="55" t="s">
        <v>44</v>
      </c>
      <c r="C19" s="36">
        <v>0.0</v>
      </c>
      <c r="D19" s="36">
        <f t="shared" ref="D19:AL19" si="16">C19</f>
        <v>0</v>
      </c>
      <c r="E19" s="36">
        <f t="shared" si="16"/>
        <v>0</v>
      </c>
      <c r="F19" s="36">
        <f t="shared" si="16"/>
        <v>0</v>
      </c>
      <c r="G19" s="36">
        <f t="shared" si="16"/>
        <v>0</v>
      </c>
      <c r="H19" s="36">
        <f t="shared" si="16"/>
        <v>0</v>
      </c>
      <c r="I19" s="36">
        <f t="shared" si="16"/>
        <v>0</v>
      </c>
      <c r="J19" s="36">
        <f t="shared" si="16"/>
        <v>0</v>
      </c>
      <c r="K19" s="36">
        <f t="shared" si="16"/>
        <v>0</v>
      </c>
      <c r="L19" s="36">
        <f t="shared" si="16"/>
        <v>0</v>
      </c>
      <c r="M19" s="36">
        <f t="shared" si="16"/>
        <v>0</v>
      </c>
      <c r="N19" s="36">
        <f t="shared" si="16"/>
        <v>0</v>
      </c>
      <c r="O19" s="56">
        <f t="shared" si="16"/>
        <v>0</v>
      </c>
      <c r="P19" s="36">
        <f t="shared" si="16"/>
        <v>0</v>
      </c>
      <c r="Q19" s="36">
        <f t="shared" si="16"/>
        <v>0</v>
      </c>
      <c r="R19" s="36">
        <f t="shared" si="16"/>
        <v>0</v>
      </c>
      <c r="S19" s="36">
        <f t="shared" si="16"/>
        <v>0</v>
      </c>
      <c r="T19" s="36">
        <f t="shared" si="16"/>
        <v>0</v>
      </c>
      <c r="U19" s="36">
        <f t="shared" si="16"/>
        <v>0</v>
      </c>
      <c r="V19" s="36">
        <f t="shared" si="16"/>
        <v>0</v>
      </c>
      <c r="W19" s="36">
        <f t="shared" si="16"/>
        <v>0</v>
      </c>
      <c r="X19" s="36">
        <f t="shared" si="16"/>
        <v>0</v>
      </c>
      <c r="Y19" s="36">
        <f t="shared" si="16"/>
        <v>0</v>
      </c>
      <c r="Z19" s="36">
        <f t="shared" si="16"/>
        <v>0</v>
      </c>
      <c r="AA19" s="56">
        <f t="shared" si="16"/>
        <v>0</v>
      </c>
      <c r="AB19" s="36">
        <f t="shared" si="16"/>
        <v>0</v>
      </c>
      <c r="AC19" s="36">
        <f t="shared" si="16"/>
        <v>0</v>
      </c>
      <c r="AD19" s="36">
        <f t="shared" si="16"/>
        <v>0</v>
      </c>
      <c r="AE19" s="36">
        <f t="shared" si="16"/>
        <v>0</v>
      </c>
      <c r="AF19" s="36">
        <f t="shared" si="16"/>
        <v>0</v>
      </c>
      <c r="AG19" s="36">
        <f t="shared" si="16"/>
        <v>0</v>
      </c>
      <c r="AH19" s="36">
        <f t="shared" si="16"/>
        <v>0</v>
      </c>
      <c r="AI19" s="36">
        <f t="shared" si="16"/>
        <v>0</v>
      </c>
      <c r="AJ19" s="36">
        <f t="shared" si="16"/>
        <v>0</v>
      </c>
      <c r="AK19" s="36">
        <f t="shared" si="16"/>
        <v>0</v>
      </c>
      <c r="AL19" s="36">
        <f t="shared" si="16"/>
        <v>0</v>
      </c>
    </row>
    <row r="20">
      <c r="A20" s="40"/>
      <c r="B20" s="55" t="s">
        <v>45</v>
      </c>
      <c r="C20" s="36">
        <v>0.0</v>
      </c>
      <c r="D20" s="36">
        <f t="shared" ref="D20:AL20" si="17">C20</f>
        <v>0</v>
      </c>
      <c r="E20" s="36">
        <f t="shared" si="17"/>
        <v>0</v>
      </c>
      <c r="F20" s="36">
        <f t="shared" si="17"/>
        <v>0</v>
      </c>
      <c r="G20" s="36">
        <f t="shared" si="17"/>
        <v>0</v>
      </c>
      <c r="H20" s="36">
        <f t="shared" si="17"/>
        <v>0</v>
      </c>
      <c r="I20" s="36">
        <f t="shared" si="17"/>
        <v>0</v>
      </c>
      <c r="J20" s="36">
        <f t="shared" si="17"/>
        <v>0</v>
      </c>
      <c r="K20" s="36">
        <f t="shared" si="17"/>
        <v>0</v>
      </c>
      <c r="L20" s="36">
        <f t="shared" si="17"/>
        <v>0</v>
      </c>
      <c r="M20" s="36">
        <f t="shared" si="17"/>
        <v>0</v>
      </c>
      <c r="N20" s="36">
        <f t="shared" si="17"/>
        <v>0</v>
      </c>
      <c r="O20" s="56">
        <f t="shared" si="17"/>
        <v>0</v>
      </c>
      <c r="P20" s="36">
        <f t="shared" si="17"/>
        <v>0</v>
      </c>
      <c r="Q20" s="36">
        <f t="shared" si="17"/>
        <v>0</v>
      </c>
      <c r="R20" s="36">
        <f t="shared" si="17"/>
        <v>0</v>
      </c>
      <c r="S20" s="36">
        <f t="shared" si="17"/>
        <v>0</v>
      </c>
      <c r="T20" s="36">
        <f t="shared" si="17"/>
        <v>0</v>
      </c>
      <c r="U20" s="36">
        <f t="shared" si="17"/>
        <v>0</v>
      </c>
      <c r="V20" s="36">
        <f t="shared" si="17"/>
        <v>0</v>
      </c>
      <c r="W20" s="36">
        <f t="shared" si="17"/>
        <v>0</v>
      </c>
      <c r="X20" s="36">
        <f t="shared" si="17"/>
        <v>0</v>
      </c>
      <c r="Y20" s="36">
        <f t="shared" si="17"/>
        <v>0</v>
      </c>
      <c r="Z20" s="36">
        <f t="shared" si="17"/>
        <v>0</v>
      </c>
      <c r="AA20" s="56">
        <f t="shared" si="17"/>
        <v>0</v>
      </c>
      <c r="AB20" s="36">
        <f t="shared" si="17"/>
        <v>0</v>
      </c>
      <c r="AC20" s="36">
        <f t="shared" si="17"/>
        <v>0</v>
      </c>
      <c r="AD20" s="36">
        <f t="shared" si="17"/>
        <v>0</v>
      </c>
      <c r="AE20" s="36">
        <f t="shared" si="17"/>
        <v>0</v>
      </c>
      <c r="AF20" s="36">
        <f t="shared" si="17"/>
        <v>0</v>
      </c>
      <c r="AG20" s="36">
        <f t="shared" si="17"/>
        <v>0</v>
      </c>
      <c r="AH20" s="36">
        <f t="shared" si="17"/>
        <v>0</v>
      </c>
      <c r="AI20" s="36">
        <f t="shared" si="17"/>
        <v>0</v>
      </c>
      <c r="AJ20" s="36">
        <f t="shared" si="17"/>
        <v>0</v>
      </c>
      <c r="AK20" s="36">
        <f t="shared" si="17"/>
        <v>0</v>
      </c>
      <c r="AL20" s="36">
        <f t="shared" si="17"/>
        <v>0</v>
      </c>
    </row>
    <row r="21">
      <c r="A21" s="40"/>
      <c r="B21" s="55" t="s">
        <v>46</v>
      </c>
      <c r="C21" s="36">
        <v>0.0</v>
      </c>
      <c r="D21" s="36">
        <f t="shared" ref="D21:AL21" si="18">C21</f>
        <v>0</v>
      </c>
      <c r="E21" s="36">
        <f t="shared" si="18"/>
        <v>0</v>
      </c>
      <c r="F21" s="36">
        <f t="shared" si="18"/>
        <v>0</v>
      </c>
      <c r="G21" s="36">
        <f t="shared" si="18"/>
        <v>0</v>
      </c>
      <c r="H21" s="36">
        <f t="shared" si="18"/>
        <v>0</v>
      </c>
      <c r="I21" s="36">
        <f t="shared" si="18"/>
        <v>0</v>
      </c>
      <c r="J21" s="36">
        <f t="shared" si="18"/>
        <v>0</v>
      </c>
      <c r="K21" s="36">
        <f t="shared" si="18"/>
        <v>0</v>
      </c>
      <c r="L21" s="36">
        <f t="shared" si="18"/>
        <v>0</v>
      </c>
      <c r="M21" s="36">
        <f t="shared" si="18"/>
        <v>0</v>
      </c>
      <c r="N21" s="36">
        <f t="shared" si="18"/>
        <v>0</v>
      </c>
      <c r="O21" s="56">
        <f t="shared" si="18"/>
        <v>0</v>
      </c>
      <c r="P21" s="36">
        <f t="shared" si="18"/>
        <v>0</v>
      </c>
      <c r="Q21" s="36">
        <f t="shared" si="18"/>
        <v>0</v>
      </c>
      <c r="R21" s="36">
        <f t="shared" si="18"/>
        <v>0</v>
      </c>
      <c r="S21" s="36">
        <f t="shared" si="18"/>
        <v>0</v>
      </c>
      <c r="T21" s="36">
        <f t="shared" si="18"/>
        <v>0</v>
      </c>
      <c r="U21" s="36">
        <f t="shared" si="18"/>
        <v>0</v>
      </c>
      <c r="V21" s="36">
        <f t="shared" si="18"/>
        <v>0</v>
      </c>
      <c r="W21" s="36">
        <f t="shared" si="18"/>
        <v>0</v>
      </c>
      <c r="X21" s="36">
        <f t="shared" si="18"/>
        <v>0</v>
      </c>
      <c r="Y21" s="36">
        <f t="shared" si="18"/>
        <v>0</v>
      </c>
      <c r="Z21" s="36">
        <f t="shared" si="18"/>
        <v>0</v>
      </c>
      <c r="AA21" s="56">
        <f t="shared" si="18"/>
        <v>0</v>
      </c>
      <c r="AB21" s="36">
        <f t="shared" si="18"/>
        <v>0</v>
      </c>
      <c r="AC21" s="36">
        <f t="shared" si="18"/>
        <v>0</v>
      </c>
      <c r="AD21" s="36">
        <f t="shared" si="18"/>
        <v>0</v>
      </c>
      <c r="AE21" s="36">
        <f t="shared" si="18"/>
        <v>0</v>
      </c>
      <c r="AF21" s="36">
        <f t="shared" si="18"/>
        <v>0</v>
      </c>
      <c r="AG21" s="36">
        <f t="shared" si="18"/>
        <v>0</v>
      </c>
      <c r="AH21" s="36">
        <f t="shared" si="18"/>
        <v>0</v>
      </c>
      <c r="AI21" s="36">
        <f t="shared" si="18"/>
        <v>0</v>
      </c>
      <c r="AJ21" s="36">
        <f t="shared" si="18"/>
        <v>0</v>
      </c>
      <c r="AK21" s="36">
        <f t="shared" si="18"/>
        <v>0</v>
      </c>
      <c r="AL21" s="36">
        <f t="shared" si="18"/>
        <v>0</v>
      </c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62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62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</row>
    <row r="23">
      <c r="A23" s="63"/>
      <c r="B23" s="64" t="s">
        <v>48</v>
      </c>
      <c r="C23" s="65">
        <f t="shared" ref="C23:AL23" si="19">sum(C24:C30)</f>
        <v>0</v>
      </c>
      <c r="D23" s="65">
        <f t="shared" si="19"/>
        <v>0</v>
      </c>
      <c r="E23" s="65">
        <f t="shared" si="19"/>
        <v>0</v>
      </c>
      <c r="F23" s="65">
        <f t="shared" si="19"/>
        <v>0</v>
      </c>
      <c r="G23" s="65">
        <f t="shared" si="19"/>
        <v>0</v>
      </c>
      <c r="H23" s="65">
        <f t="shared" si="19"/>
        <v>0</v>
      </c>
      <c r="I23" s="65">
        <f t="shared" si="19"/>
        <v>0</v>
      </c>
      <c r="J23" s="65">
        <f t="shared" si="19"/>
        <v>0</v>
      </c>
      <c r="K23" s="65">
        <f t="shared" si="19"/>
        <v>0</v>
      </c>
      <c r="L23" s="65">
        <f t="shared" si="19"/>
        <v>0</v>
      </c>
      <c r="M23" s="65">
        <f t="shared" si="19"/>
        <v>0</v>
      </c>
      <c r="N23" s="65">
        <f t="shared" si="19"/>
        <v>0</v>
      </c>
      <c r="O23" s="66">
        <f t="shared" si="19"/>
        <v>0</v>
      </c>
      <c r="P23" s="65">
        <f t="shared" si="19"/>
        <v>0</v>
      </c>
      <c r="Q23" s="65">
        <f t="shared" si="19"/>
        <v>0</v>
      </c>
      <c r="R23" s="65">
        <f t="shared" si="19"/>
        <v>0</v>
      </c>
      <c r="S23" s="65">
        <f t="shared" si="19"/>
        <v>0</v>
      </c>
      <c r="T23" s="65">
        <f t="shared" si="19"/>
        <v>0</v>
      </c>
      <c r="U23" s="65">
        <f t="shared" si="19"/>
        <v>0</v>
      </c>
      <c r="V23" s="65">
        <f t="shared" si="19"/>
        <v>0</v>
      </c>
      <c r="W23" s="65">
        <f t="shared" si="19"/>
        <v>0</v>
      </c>
      <c r="X23" s="65">
        <f t="shared" si="19"/>
        <v>0</v>
      </c>
      <c r="Y23" s="65">
        <f t="shared" si="19"/>
        <v>0</v>
      </c>
      <c r="Z23" s="65">
        <f t="shared" si="19"/>
        <v>0</v>
      </c>
      <c r="AA23" s="66">
        <f t="shared" si="19"/>
        <v>0</v>
      </c>
      <c r="AB23" s="65">
        <f t="shared" si="19"/>
        <v>0</v>
      </c>
      <c r="AC23" s="65">
        <f t="shared" si="19"/>
        <v>0</v>
      </c>
      <c r="AD23" s="65">
        <f t="shared" si="19"/>
        <v>0</v>
      </c>
      <c r="AE23" s="65">
        <f t="shared" si="19"/>
        <v>0</v>
      </c>
      <c r="AF23" s="65">
        <f t="shared" si="19"/>
        <v>0</v>
      </c>
      <c r="AG23" s="65">
        <f t="shared" si="19"/>
        <v>0</v>
      </c>
      <c r="AH23" s="65">
        <f t="shared" si="19"/>
        <v>0</v>
      </c>
      <c r="AI23" s="65">
        <f t="shared" si="19"/>
        <v>0</v>
      </c>
      <c r="AJ23" s="65">
        <f t="shared" si="19"/>
        <v>0</v>
      </c>
      <c r="AK23" s="65">
        <f t="shared" si="19"/>
        <v>0</v>
      </c>
      <c r="AL23" s="65">
        <f t="shared" si="19"/>
        <v>0</v>
      </c>
    </row>
    <row r="24">
      <c r="A24" s="40"/>
      <c r="B24" s="55" t="s">
        <v>40</v>
      </c>
      <c r="C24" s="36">
        <v>0.0</v>
      </c>
      <c r="D24" s="36">
        <f t="shared" ref="D24:AL24" si="20">C24</f>
        <v>0</v>
      </c>
      <c r="E24" s="36">
        <f t="shared" si="20"/>
        <v>0</v>
      </c>
      <c r="F24" s="36">
        <f t="shared" si="20"/>
        <v>0</v>
      </c>
      <c r="G24" s="36">
        <f t="shared" si="20"/>
        <v>0</v>
      </c>
      <c r="H24" s="36">
        <f t="shared" si="20"/>
        <v>0</v>
      </c>
      <c r="I24" s="36">
        <f t="shared" si="20"/>
        <v>0</v>
      </c>
      <c r="J24" s="36">
        <f t="shared" si="20"/>
        <v>0</v>
      </c>
      <c r="K24" s="36">
        <f t="shared" si="20"/>
        <v>0</v>
      </c>
      <c r="L24" s="36">
        <f t="shared" si="20"/>
        <v>0</v>
      </c>
      <c r="M24" s="36">
        <f t="shared" si="20"/>
        <v>0</v>
      </c>
      <c r="N24" s="36">
        <f t="shared" si="20"/>
        <v>0</v>
      </c>
      <c r="O24" s="56">
        <f t="shared" si="20"/>
        <v>0</v>
      </c>
      <c r="P24" s="36">
        <f t="shared" si="20"/>
        <v>0</v>
      </c>
      <c r="Q24" s="36">
        <f t="shared" si="20"/>
        <v>0</v>
      </c>
      <c r="R24" s="36">
        <f t="shared" si="20"/>
        <v>0</v>
      </c>
      <c r="S24" s="36">
        <f t="shared" si="20"/>
        <v>0</v>
      </c>
      <c r="T24" s="36">
        <f t="shared" si="20"/>
        <v>0</v>
      </c>
      <c r="U24" s="36">
        <f t="shared" si="20"/>
        <v>0</v>
      </c>
      <c r="V24" s="36">
        <f t="shared" si="20"/>
        <v>0</v>
      </c>
      <c r="W24" s="36">
        <f t="shared" si="20"/>
        <v>0</v>
      </c>
      <c r="X24" s="36">
        <f t="shared" si="20"/>
        <v>0</v>
      </c>
      <c r="Y24" s="36">
        <f t="shared" si="20"/>
        <v>0</v>
      </c>
      <c r="Z24" s="36">
        <f t="shared" si="20"/>
        <v>0</v>
      </c>
      <c r="AA24" s="56">
        <f t="shared" si="20"/>
        <v>0</v>
      </c>
      <c r="AB24" s="36">
        <f t="shared" si="20"/>
        <v>0</v>
      </c>
      <c r="AC24" s="36">
        <f t="shared" si="20"/>
        <v>0</v>
      </c>
      <c r="AD24" s="36">
        <f t="shared" si="20"/>
        <v>0</v>
      </c>
      <c r="AE24" s="36">
        <f t="shared" si="20"/>
        <v>0</v>
      </c>
      <c r="AF24" s="36">
        <f t="shared" si="20"/>
        <v>0</v>
      </c>
      <c r="AG24" s="36">
        <f t="shared" si="20"/>
        <v>0</v>
      </c>
      <c r="AH24" s="36">
        <f t="shared" si="20"/>
        <v>0</v>
      </c>
      <c r="AI24" s="36">
        <f t="shared" si="20"/>
        <v>0</v>
      </c>
      <c r="AJ24" s="36">
        <f t="shared" si="20"/>
        <v>0</v>
      </c>
      <c r="AK24" s="36">
        <f t="shared" si="20"/>
        <v>0</v>
      </c>
      <c r="AL24" s="36">
        <f t="shared" si="20"/>
        <v>0</v>
      </c>
    </row>
    <row r="25">
      <c r="A25" s="40"/>
      <c r="B25" s="55" t="s">
        <v>41</v>
      </c>
      <c r="C25" s="36">
        <v>0.0</v>
      </c>
      <c r="D25" s="36">
        <f t="shared" ref="D25:AL25" si="21">C25</f>
        <v>0</v>
      </c>
      <c r="E25" s="36">
        <f t="shared" si="21"/>
        <v>0</v>
      </c>
      <c r="F25" s="36">
        <f t="shared" si="21"/>
        <v>0</v>
      </c>
      <c r="G25" s="36">
        <f t="shared" si="21"/>
        <v>0</v>
      </c>
      <c r="H25" s="36">
        <f t="shared" si="21"/>
        <v>0</v>
      </c>
      <c r="I25" s="36">
        <f t="shared" si="21"/>
        <v>0</v>
      </c>
      <c r="J25" s="36">
        <f t="shared" si="21"/>
        <v>0</v>
      </c>
      <c r="K25" s="36">
        <f t="shared" si="21"/>
        <v>0</v>
      </c>
      <c r="L25" s="36">
        <f t="shared" si="21"/>
        <v>0</v>
      </c>
      <c r="M25" s="36">
        <f t="shared" si="21"/>
        <v>0</v>
      </c>
      <c r="N25" s="36">
        <f t="shared" si="21"/>
        <v>0</v>
      </c>
      <c r="O25" s="56">
        <f t="shared" si="21"/>
        <v>0</v>
      </c>
      <c r="P25" s="36">
        <f t="shared" si="21"/>
        <v>0</v>
      </c>
      <c r="Q25" s="36">
        <f t="shared" si="21"/>
        <v>0</v>
      </c>
      <c r="R25" s="36">
        <f t="shared" si="21"/>
        <v>0</v>
      </c>
      <c r="S25" s="36">
        <f t="shared" si="21"/>
        <v>0</v>
      </c>
      <c r="T25" s="36">
        <f t="shared" si="21"/>
        <v>0</v>
      </c>
      <c r="U25" s="36">
        <f t="shared" si="21"/>
        <v>0</v>
      </c>
      <c r="V25" s="36">
        <f t="shared" si="21"/>
        <v>0</v>
      </c>
      <c r="W25" s="36">
        <f t="shared" si="21"/>
        <v>0</v>
      </c>
      <c r="X25" s="36">
        <f t="shared" si="21"/>
        <v>0</v>
      </c>
      <c r="Y25" s="36">
        <f t="shared" si="21"/>
        <v>0</v>
      </c>
      <c r="Z25" s="36">
        <f t="shared" si="21"/>
        <v>0</v>
      </c>
      <c r="AA25" s="56">
        <f t="shared" si="21"/>
        <v>0</v>
      </c>
      <c r="AB25" s="36">
        <f t="shared" si="21"/>
        <v>0</v>
      </c>
      <c r="AC25" s="36">
        <f t="shared" si="21"/>
        <v>0</v>
      </c>
      <c r="AD25" s="36">
        <f t="shared" si="21"/>
        <v>0</v>
      </c>
      <c r="AE25" s="36">
        <f t="shared" si="21"/>
        <v>0</v>
      </c>
      <c r="AF25" s="36">
        <f t="shared" si="21"/>
        <v>0</v>
      </c>
      <c r="AG25" s="36">
        <f t="shared" si="21"/>
        <v>0</v>
      </c>
      <c r="AH25" s="36">
        <f t="shared" si="21"/>
        <v>0</v>
      </c>
      <c r="AI25" s="36">
        <f t="shared" si="21"/>
        <v>0</v>
      </c>
      <c r="AJ25" s="36">
        <f t="shared" si="21"/>
        <v>0</v>
      </c>
      <c r="AK25" s="36">
        <f t="shared" si="21"/>
        <v>0</v>
      </c>
      <c r="AL25" s="36">
        <f t="shared" si="21"/>
        <v>0</v>
      </c>
    </row>
    <row r="26">
      <c r="A26" s="40"/>
      <c r="B26" s="55" t="s">
        <v>42</v>
      </c>
      <c r="C26" s="36">
        <v>0.0</v>
      </c>
      <c r="D26" s="36">
        <f t="shared" ref="D26:AL26" si="22">C26</f>
        <v>0</v>
      </c>
      <c r="E26" s="36">
        <f t="shared" si="22"/>
        <v>0</v>
      </c>
      <c r="F26" s="36">
        <f t="shared" si="22"/>
        <v>0</v>
      </c>
      <c r="G26" s="36">
        <f t="shared" si="22"/>
        <v>0</v>
      </c>
      <c r="H26" s="36">
        <f t="shared" si="22"/>
        <v>0</v>
      </c>
      <c r="I26" s="36">
        <f t="shared" si="22"/>
        <v>0</v>
      </c>
      <c r="J26" s="36">
        <f t="shared" si="22"/>
        <v>0</v>
      </c>
      <c r="K26" s="36">
        <f t="shared" si="22"/>
        <v>0</v>
      </c>
      <c r="L26" s="36">
        <f t="shared" si="22"/>
        <v>0</v>
      </c>
      <c r="M26" s="36">
        <f t="shared" si="22"/>
        <v>0</v>
      </c>
      <c r="N26" s="36">
        <f t="shared" si="22"/>
        <v>0</v>
      </c>
      <c r="O26" s="56">
        <f t="shared" si="22"/>
        <v>0</v>
      </c>
      <c r="P26" s="36">
        <f t="shared" si="22"/>
        <v>0</v>
      </c>
      <c r="Q26" s="36">
        <f t="shared" si="22"/>
        <v>0</v>
      </c>
      <c r="R26" s="36">
        <f t="shared" si="22"/>
        <v>0</v>
      </c>
      <c r="S26" s="36">
        <f t="shared" si="22"/>
        <v>0</v>
      </c>
      <c r="T26" s="36">
        <f t="shared" si="22"/>
        <v>0</v>
      </c>
      <c r="U26" s="36">
        <f t="shared" si="22"/>
        <v>0</v>
      </c>
      <c r="V26" s="36">
        <f t="shared" si="22"/>
        <v>0</v>
      </c>
      <c r="W26" s="36">
        <f t="shared" si="22"/>
        <v>0</v>
      </c>
      <c r="X26" s="36">
        <f t="shared" si="22"/>
        <v>0</v>
      </c>
      <c r="Y26" s="36">
        <f t="shared" si="22"/>
        <v>0</v>
      </c>
      <c r="Z26" s="36">
        <f t="shared" si="22"/>
        <v>0</v>
      </c>
      <c r="AA26" s="56">
        <f t="shared" si="22"/>
        <v>0</v>
      </c>
      <c r="AB26" s="36">
        <f t="shared" si="22"/>
        <v>0</v>
      </c>
      <c r="AC26" s="36">
        <f t="shared" si="22"/>
        <v>0</v>
      </c>
      <c r="AD26" s="36">
        <f t="shared" si="22"/>
        <v>0</v>
      </c>
      <c r="AE26" s="36">
        <f t="shared" si="22"/>
        <v>0</v>
      </c>
      <c r="AF26" s="36">
        <f t="shared" si="22"/>
        <v>0</v>
      </c>
      <c r="AG26" s="36">
        <f t="shared" si="22"/>
        <v>0</v>
      </c>
      <c r="AH26" s="36">
        <f t="shared" si="22"/>
        <v>0</v>
      </c>
      <c r="AI26" s="36">
        <f t="shared" si="22"/>
        <v>0</v>
      </c>
      <c r="AJ26" s="36">
        <f t="shared" si="22"/>
        <v>0</v>
      </c>
      <c r="AK26" s="36">
        <f t="shared" si="22"/>
        <v>0</v>
      </c>
      <c r="AL26" s="36">
        <f t="shared" si="22"/>
        <v>0</v>
      </c>
    </row>
    <row r="27">
      <c r="A27" s="40"/>
      <c r="B27" s="55" t="s">
        <v>43</v>
      </c>
      <c r="C27" s="36">
        <v>0.0</v>
      </c>
      <c r="D27" s="36">
        <f t="shared" ref="D27:AL27" si="23">C27</f>
        <v>0</v>
      </c>
      <c r="E27" s="36">
        <f t="shared" si="23"/>
        <v>0</v>
      </c>
      <c r="F27" s="36">
        <f t="shared" si="23"/>
        <v>0</v>
      </c>
      <c r="G27" s="36">
        <f t="shared" si="23"/>
        <v>0</v>
      </c>
      <c r="H27" s="36">
        <f t="shared" si="23"/>
        <v>0</v>
      </c>
      <c r="I27" s="36">
        <f t="shared" si="23"/>
        <v>0</v>
      </c>
      <c r="J27" s="36">
        <f t="shared" si="23"/>
        <v>0</v>
      </c>
      <c r="K27" s="36">
        <f t="shared" si="23"/>
        <v>0</v>
      </c>
      <c r="L27" s="36">
        <f t="shared" si="23"/>
        <v>0</v>
      </c>
      <c r="M27" s="36">
        <f t="shared" si="23"/>
        <v>0</v>
      </c>
      <c r="N27" s="36">
        <f t="shared" si="23"/>
        <v>0</v>
      </c>
      <c r="O27" s="56">
        <f t="shared" si="23"/>
        <v>0</v>
      </c>
      <c r="P27" s="36">
        <f t="shared" si="23"/>
        <v>0</v>
      </c>
      <c r="Q27" s="36">
        <f t="shared" si="23"/>
        <v>0</v>
      </c>
      <c r="R27" s="36">
        <f t="shared" si="23"/>
        <v>0</v>
      </c>
      <c r="S27" s="36">
        <f t="shared" si="23"/>
        <v>0</v>
      </c>
      <c r="T27" s="36">
        <f t="shared" si="23"/>
        <v>0</v>
      </c>
      <c r="U27" s="36">
        <f t="shared" si="23"/>
        <v>0</v>
      </c>
      <c r="V27" s="36">
        <f t="shared" si="23"/>
        <v>0</v>
      </c>
      <c r="W27" s="36">
        <f t="shared" si="23"/>
        <v>0</v>
      </c>
      <c r="X27" s="36">
        <f t="shared" si="23"/>
        <v>0</v>
      </c>
      <c r="Y27" s="36">
        <f t="shared" si="23"/>
        <v>0</v>
      </c>
      <c r="Z27" s="36">
        <f t="shared" si="23"/>
        <v>0</v>
      </c>
      <c r="AA27" s="56">
        <f t="shared" si="23"/>
        <v>0</v>
      </c>
      <c r="AB27" s="36">
        <f t="shared" si="23"/>
        <v>0</v>
      </c>
      <c r="AC27" s="36">
        <f t="shared" si="23"/>
        <v>0</v>
      </c>
      <c r="AD27" s="36">
        <f t="shared" si="23"/>
        <v>0</v>
      </c>
      <c r="AE27" s="36">
        <f t="shared" si="23"/>
        <v>0</v>
      </c>
      <c r="AF27" s="36">
        <f t="shared" si="23"/>
        <v>0</v>
      </c>
      <c r="AG27" s="36">
        <f t="shared" si="23"/>
        <v>0</v>
      </c>
      <c r="AH27" s="36">
        <f t="shared" si="23"/>
        <v>0</v>
      </c>
      <c r="AI27" s="36">
        <f t="shared" si="23"/>
        <v>0</v>
      </c>
      <c r="AJ27" s="36">
        <f t="shared" si="23"/>
        <v>0</v>
      </c>
      <c r="AK27" s="36">
        <f t="shared" si="23"/>
        <v>0</v>
      </c>
      <c r="AL27" s="36">
        <f t="shared" si="23"/>
        <v>0</v>
      </c>
    </row>
    <row r="28">
      <c r="A28" s="40"/>
      <c r="B28" s="55" t="s">
        <v>44</v>
      </c>
      <c r="C28" s="36">
        <v>0.0</v>
      </c>
      <c r="D28" s="36">
        <f t="shared" ref="D28:AL28" si="24">C28</f>
        <v>0</v>
      </c>
      <c r="E28" s="36">
        <f t="shared" si="24"/>
        <v>0</v>
      </c>
      <c r="F28" s="36">
        <f t="shared" si="24"/>
        <v>0</v>
      </c>
      <c r="G28" s="36">
        <f t="shared" si="24"/>
        <v>0</v>
      </c>
      <c r="H28" s="36">
        <f t="shared" si="24"/>
        <v>0</v>
      </c>
      <c r="I28" s="36">
        <f t="shared" si="24"/>
        <v>0</v>
      </c>
      <c r="J28" s="36">
        <f t="shared" si="24"/>
        <v>0</v>
      </c>
      <c r="K28" s="36">
        <f t="shared" si="24"/>
        <v>0</v>
      </c>
      <c r="L28" s="36">
        <f t="shared" si="24"/>
        <v>0</v>
      </c>
      <c r="M28" s="36">
        <f t="shared" si="24"/>
        <v>0</v>
      </c>
      <c r="N28" s="36">
        <f t="shared" si="24"/>
        <v>0</v>
      </c>
      <c r="O28" s="56">
        <f t="shared" si="24"/>
        <v>0</v>
      </c>
      <c r="P28" s="36">
        <f t="shared" si="24"/>
        <v>0</v>
      </c>
      <c r="Q28" s="36">
        <f t="shared" si="24"/>
        <v>0</v>
      </c>
      <c r="R28" s="36">
        <f t="shared" si="24"/>
        <v>0</v>
      </c>
      <c r="S28" s="36">
        <f t="shared" si="24"/>
        <v>0</v>
      </c>
      <c r="T28" s="36">
        <f t="shared" si="24"/>
        <v>0</v>
      </c>
      <c r="U28" s="36">
        <f t="shared" si="24"/>
        <v>0</v>
      </c>
      <c r="V28" s="36">
        <f t="shared" si="24"/>
        <v>0</v>
      </c>
      <c r="W28" s="36">
        <f t="shared" si="24"/>
        <v>0</v>
      </c>
      <c r="X28" s="36">
        <f t="shared" si="24"/>
        <v>0</v>
      </c>
      <c r="Y28" s="36">
        <f t="shared" si="24"/>
        <v>0</v>
      </c>
      <c r="Z28" s="36">
        <f t="shared" si="24"/>
        <v>0</v>
      </c>
      <c r="AA28" s="56">
        <f t="shared" si="24"/>
        <v>0</v>
      </c>
      <c r="AB28" s="36">
        <f t="shared" si="24"/>
        <v>0</v>
      </c>
      <c r="AC28" s="36">
        <f t="shared" si="24"/>
        <v>0</v>
      </c>
      <c r="AD28" s="36">
        <f t="shared" si="24"/>
        <v>0</v>
      </c>
      <c r="AE28" s="36">
        <f t="shared" si="24"/>
        <v>0</v>
      </c>
      <c r="AF28" s="36">
        <f t="shared" si="24"/>
        <v>0</v>
      </c>
      <c r="AG28" s="36">
        <f t="shared" si="24"/>
        <v>0</v>
      </c>
      <c r="AH28" s="36">
        <f t="shared" si="24"/>
        <v>0</v>
      </c>
      <c r="AI28" s="36">
        <f t="shared" si="24"/>
        <v>0</v>
      </c>
      <c r="AJ28" s="36">
        <f t="shared" si="24"/>
        <v>0</v>
      </c>
      <c r="AK28" s="36">
        <f t="shared" si="24"/>
        <v>0</v>
      </c>
      <c r="AL28" s="36">
        <f t="shared" si="24"/>
        <v>0</v>
      </c>
    </row>
    <row r="29">
      <c r="A29" s="40"/>
      <c r="B29" s="55" t="s">
        <v>45</v>
      </c>
      <c r="C29" s="36">
        <v>0.0</v>
      </c>
      <c r="D29" s="36">
        <f t="shared" ref="D29:AL29" si="25">C29</f>
        <v>0</v>
      </c>
      <c r="E29" s="36">
        <f t="shared" si="25"/>
        <v>0</v>
      </c>
      <c r="F29" s="36">
        <f t="shared" si="25"/>
        <v>0</v>
      </c>
      <c r="G29" s="36">
        <f t="shared" si="25"/>
        <v>0</v>
      </c>
      <c r="H29" s="36">
        <f t="shared" si="25"/>
        <v>0</v>
      </c>
      <c r="I29" s="36">
        <f t="shared" si="25"/>
        <v>0</v>
      </c>
      <c r="J29" s="36">
        <f t="shared" si="25"/>
        <v>0</v>
      </c>
      <c r="K29" s="36">
        <f t="shared" si="25"/>
        <v>0</v>
      </c>
      <c r="L29" s="36">
        <f t="shared" si="25"/>
        <v>0</v>
      </c>
      <c r="M29" s="36">
        <f t="shared" si="25"/>
        <v>0</v>
      </c>
      <c r="N29" s="36">
        <f t="shared" si="25"/>
        <v>0</v>
      </c>
      <c r="O29" s="56">
        <f t="shared" si="25"/>
        <v>0</v>
      </c>
      <c r="P29" s="36">
        <f t="shared" si="25"/>
        <v>0</v>
      </c>
      <c r="Q29" s="36">
        <f t="shared" si="25"/>
        <v>0</v>
      </c>
      <c r="R29" s="36">
        <f t="shared" si="25"/>
        <v>0</v>
      </c>
      <c r="S29" s="36">
        <f t="shared" si="25"/>
        <v>0</v>
      </c>
      <c r="T29" s="36">
        <f t="shared" si="25"/>
        <v>0</v>
      </c>
      <c r="U29" s="36">
        <f t="shared" si="25"/>
        <v>0</v>
      </c>
      <c r="V29" s="36">
        <f t="shared" si="25"/>
        <v>0</v>
      </c>
      <c r="W29" s="36">
        <f t="shared" si="25"/>
        <v>0</v>
      </c>
      <c r="X29" s="36">
        <f t="shared" si="25"/>
        <v>0</v>
      </c>
      <c r="Y29" s="36">
        <f t="shared" si="25"/>
        <v>0</v>
      </c>
      <c r="Z29" s="36">
        <f t="shared" si="25"/>
        <v>0</v>
      </c>
      <c r="AA29" s="56">
        <f t="shared" si="25"/>
        <v>0</v>
      </c>
      <c r="AB29" s="36">
        <f t="shared" si="25"/>
        <v>0</v>
      </c>
      <c r="AC29" s="36">
        <f t="shared" si="25"/>
        <v>0</v>
      </c>
      <c r="AD29" s="36">
        <f t="shared" si="25"/>
        <v>0</v>
      </c>
      <c r="AE29" s="36">
        <f t="shared" si="25"/>
        <v>0</v>
      </c>
      <c r="AF29" s="36">
        <f t="shared" si="25"/>
        <v>0</v>
      </c>
      <c r="AG29" s="36">
        <f t="shared" si="25"/>
        <v>0</v>
      </c>
      <c r="AH29" s="36">
        <f t="shared" si="25"/>
        <v>0</v>
      </c>
      <c r="AI29" s="36">
        <f t="shared" si="25"/>
        <v>0</v>
      </c>
      <c r="AJ29" s="36">
        <f t="shared" si="25"/>
        <v>0</v>
      </c>
      <c r="AK29" s="36">
        <f t="shared" si="25"/>
        <v>0</v>
      </c>
      <c r="AL29" s="36">
        <f t="shared" si="25"/>
        <v>0</v>
      </c>
    </row>
    <row r="30">
      <c r="A30" s="40"/>
      <c r="B30" s="55" t="s">
        <v>46</v>
      </c>
      <c r="C30" s="36">
        <v>0.0</v>
      </c>
      <c r="D30" s="36">
        <f t="shared" ref="D30:AL30" si="26">C30</f>
        <v>0</v>
      </c>
      <c r="E30" s="36">
        <f t="shared" si="26"/>
        <v>0</v>
      </c>
      <c r="F30" s="36">
        <f t="shared" si="26"/>
        <v>0</v>
      </c>
      <c r="G30" s="36">
        <f t="shared" si="26"/>
        <v>0</v>
      </c>
      <c r="H30" s="36">
        <f t="shared" si="26"/>
        <v>0</v>
      </c>
      <c r="I30" s="36">
        <f t="shared" si="26"/>
        <v>0</v>
      </c>
      <c r="J30" s="36">
        <f t="shared" si="26"/>
        <v>0</v>
      </c>
      <c r="K30" s="36">
        <f t="shared" si="26"/>
        <v>0</v>
      </c>
      <c r="L30" s="36">
        <f t="shared" si="26"/>
        <v>0</v>
      </c>
      <c r="M30" s="36">
        <f t="shared" si="26"/>
        <v>0</v>
      </c>
      <c r="N30" s="36">
        <f t="shared" si="26"/>
        <v>0</v>
      </c>
      <c r="O30" s="56">
        <f t="shared" si="26"/>
        <v>0</v>
      </c>
      <c r="P30" s="36">
        <f t="shared" si="26"/>
        <v>0</v>
      </c>
      <c r="Q30" s="36">
        <f t="shared" si="26"/>
        <v>0</v>
      </c>
      <c r="R30" s="36">
        <f t="shared" si="26"/>
        <v>0</v>
      </c>
      <c r="S30" s="36">
        <f t="shared" si="26"/>
        <v>0</v>
      </c>
      <c r="T30" s="36">
        <f t="shared" si="26"/>
        <v>0</v>
      </c>
      <c r="U30" s="36">
        <f t="shared" si="26"/>
        <v>0</v>
      </c>
      <c r="V30" s="36">
        <f t="shared" si="26"/>
        <v>0</v>
      </c>
      <c r="W30" s="36">
        <f t="shared" si="26"/>
        <v>0</v>
      </c>
      <c r="X30" s="36">
        <f t="shared" si="26"/>
        <v>0</v>
      </c>
      <c r="Y30" s="36">
        <f t="shared" si="26"/>
        <v>0</v>
      </c>
      <c r="Z30" s="36">
        <f t="shared" si="26"/>
        <v>0</v>
      </c>
      <c r="AA30" s="56">
        <f t="shared" si="26"/>
        <v>0</v>
      </c>
      <c r="AB30" s="36">
        <f t="shared" si="26"/>
        <v>0</v>
      </c>
      <c r="AC30" s="36">
        <f t="shared" si="26"/>
        <v>0</v>
      </c>
      <c r="AD30" s="36">
        <f t="shared" si="26"/>
        <v>0</v>
      </c>
      <c r="AE30" s="36">
        <f t="shared" si="26"/>
        <v>0</v>
      </c>
      <c r="AF30" s="36">
        <f t="shared" si="26"/>
        <v>0</v>
      </c>
      <c r="AG30" s="36">
        <f t="shared" si="26"/>
        <v>0</v>
      </c>
      <c r="AH30" s="36">
        <f t="shared" si="26"/>
        <v>0</v>
      </c>
      <c r="AI30" s="36">
        <f t="shared" si="26"/>
        <v>0</v>
      </c>
      <c r="AJ30" s="36">
        <f t="shared" si="26"/>
        <v>0</v>
      </c>
      <c r="AK30" s="36">
        <f t="shared" si="26"/>
        <v>0</v>
      </c>
      <c r="AL30" s="36">
        <f t="shared" si="26"/>
        <v>0</v>
      </c>
    </row>
    <row r="31">
      <c r="A31" s="40"/>
      <c r="B31" s="55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62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62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</row>
    <row r="32">
      <c r="A32" s="67"/>
      <c r="B32" s="68" t="s">
        <v>49</v>
      </c>
      <c r="C32" s="69">
        <f t="shared" ref="C32:AL32" si="27">sum(C33:C36)</f>
        <v>0</v>
      </c>
      <c r="D32" s="69">
        <f t="shared" si="27"/>
        <v>0</v>
      </c>
      <c r="E32" s="69">
        <f t="shared" si="27"/>
        <v>0</v>
      </c>
      <c r="F32" s="69">
        <f t="shared" si="27"/>
        <v>0</v>
      </c>
      <c r="G32" s="69">
        <f t="shared" si="27"/>
        <v>0</v>
      </c>
      <c r="H32" s="69">
        <f t="shared" si="27"/>
        <v>0</v>
      </c>
      <c r="I32" s="69">
        <f t="shared" si="27"/>
        <v>0</v>
      </c>
      <c r="J32" s="69">
        <f t="shared" si="27"/>
        <v>0</v>
      </c>
      <c r="K32" s="69">
        <f t="shared" si="27"/>
        <v>0</v>
      </c>
      <c r="L32" s="69">
        <f t="shared" si="27"/>
        <v>0</v>
      </c>
      <c r="M32" s="69">
        <f t="shared" si="27"/>
        <v>0</v>
      </c>
      <c r="N32" s="69">
        <f t="shared" si="27"/>
        <v>0</v>
      </c>
      <c r="O32" s="70">
        <f t="shared" si="27"/>
        <v>0</v>
      </c>
      <c r="P32" s="69">
        <f t="shared" si="27"/>
        <v>0</v>
      </c>
      <c r="Q32" s="69">
        <f t="shared" si="27"/>
        <v>0</v>
      </c>
      <c r="R32" s="69">
        <f t="shared" si="27"/>
        <v>0</v>
      </c>
      <c r="S32" s="69">
        <f t="shared" si="27"/>
        <v>0</v>
      </c>
      <c r="T32" s="69">
        <f t="shared" si="27"/>
        <v>0</v>
      </c>
      <c r="U32" s="69">
        <f t="shared" si="27"/>
        <v>0</v>
      </c>
      <c r="V32" s="69">
        <f t="shared" si="27"/>
        <v>0</v>
      </c>
      <c r="W32" s="69">
        <f t="shared" si="27"/>
        <v>0</v>
      </c>
      <c r="X32" s="69">
        <f t="shared" si="27"/>
        <v>0</v>
      </c>
      <c r="Y32" s="69">
        <f t="shared" si="27"/>
        <v>0</v>
      </c>
      <c r="Z32" s="69">
        <f t="shared" si="27"/>
        <v>0</v>
      </c>
      <c r="AA32" s="70">
        <f t="shared" si="27"/>
        <v>0</v>
      </c>
      <c r="AB32" s="69">
        <f t="shared" si="27"/>
        <v>0</v>
      </c>
      <c r="AC32" s="69">
        <f t="shared" si="27"/>
        <v>0</v>
      </c>
      <c r="AD32" s="69">
        <f t="shared" si="27"/>
        <v>0</v>
      </c>
      <c r="AE32" s="69">
        <f t="shared" si="27"/>
        <v>0</v>
      </c>
      <c r="AF32" s="69">
        <f t="shared" si="27"/>
        <v>0</v>
      </c>
      <c r="AG32" s="69">
        <f t="shared" si="27"/>
        <v>0</v>
      </c>
      <c r="AH32" s="69">
        <f t="shared" si="27"/>
        <v>0</v>
      </c>
      <c r="AI32" s="69">
        <f t="shared" si="27"/>
        <v>0</v>
      </c>
      <c r="AJ32" s="69">
        <f t="shared" si="27"/>
        <v>0</v>
      </c>
      <c r="AK32" s="69">
        <f t="shared" si="27"/>
        <v>0</v>
      </c>
      <c r="AL32" s="69">
        <f t="shared" si="27"/>
        <v>0</v>
      </c>
    </row>
    <row r="33">
      <c r="A33" s="40"/>
      <c r="B33" s="55" t="s">
        <v>40</v>
      </c>
      <c r="C33" s="36">
        <v>0.0</v>
      </c>
      <c r="D33" s="36">
        <f t="shared" ref="D33:AL33" si="28">C33</f>
        <v>0</v>
      </c>
      <c r="E33" s="36">
        <f t="shared" si="28"/>
        <v>0</v>
      </c>
      <c r="F33" s="36">
        <f t="shared" si="28"/>
        <v>0</v>
      </c>
      <c r="G33" s="36">
        <f t="shared" si="28"/>
        <v>0</v>
      </c>
      <c r="H33" s="36">
        <f t="shared" si="28"/>
        <v>0</v>
      </c>
      <c r="I33" s="36">
        <f t="shared" si="28"/>
        <v>0</v>
      </c>
      <c r="J33" s="36">
        <f t="shared" si="28"/>
        <v>0</v>
      </c>
      <c r="K33" s="36">
        <f t="shared" si="28"/>
        <v>0</v>
      </c>
      <c r="L33" s="36">
        <f t="shared" si="28"/>
        <v>0</v>
      </c>
      <c r="M33" s="36">
        <f t="shared" si="28"/>
        <v>0</v>
      </c>
      <c r="N33" s="36">
        <f t="shared" si="28"/>
        <v>0</v>
      </c>
      <c r="O33" s="56">
        <f t="shared" si="28"/>
        <v>0</v>
      </c>
      <c r="P33" s="36">
        <f t="shared" si="28"/>
        <v>0</v>
      </c>
      <c r="Q33" s="36">
        <f t="shared" si="28"/>
        <v>0</v>
      </c>
      <c r="R33" s="36">
        <f t="shared" si="28"/>
        <v>0</v>
      </c>
      <c r="S33" s="36">
        <f t="shared" si="28"/>
        <v>0</v>
      </c>
      <c r="T33" s="36">
        <f t="shared" si="28"/>
        <v>0</v>
      </c>
      <c r="U33" s="36">
        <f t="shared" si="28"/>
        <v>0</v>
      </c>
      <c r="V33" s="36">
        <f t="shared" si="28"/>
        <v>0</v>
      </c>
      <c r="W33" s="36">
        <f t="shared" si="28"/>
        <v>0</v>
      </c>
      <c r="X33" s="36">
        <f t="shared" si="28"/>
        <v>0</v>
      </c>
      <c r="Y33" s="36">
        <f t="shared" si="28"/>
        <v>0</v>
      </c>
      <c r="Z33" s="36">
        <f t="shared" si="28"/>
        <v>0</v>
      </c>
      <c r="AA33" s="56">
        <f t="shared" si="28"/>
        <v>0</v>
      </c>
      <c r="AB33" s="36">
        <f t="shared" si="28"/>
        <v>0</v>
      </c>
      <c r="AC33" s="36">
        <f t="shared" si="28"/>
        <v>0</v>
      </c>
      <c r="AD33" s="36">
        <f t="shared" si="28"/>
        <v>0</v>
      </c>
      <c r="AE33" s="36">
        <f t="shared" si="28"/>
        <v>0</v>
      </c>
      <c r="AF33" s="36">
        <f t="shared" si="28"/>
        <v>0</v>
      </c>
      <c r="AG33" s="36">
        <f t="shared" si="28"/>
        <v>0</v>
      </c>
      <c r="AH33" s="36">
        <f t="shared" si="28"/>
        <v>0</v>
      </c>
      <c r="AI33" s="36">
        <f t="shared" si="28"/>
        <v>0</v>
      </c>
      <c r="AJ33" s="36">
        <f t="shared" si="28"/>
        <v>0</v>
      </c>
      <c r="AK33" s="36">
        <f t="shared" si="28"/>
        <v>0</v>
      </c>
      <c r="AL33" s="36">
        <f t="shared" si="28"/>
        <v>0</v>
      </c>
    </row>
    <row r="34">
      <c r="A34" s="40"/>
      <c r="B34" s="55" t="s">
        <v>41</v>
      </c>
      <c r="C34" s="36">
        <v>0.0</v>
      </c>
      <c r="D34" s="36">
        <f t="shared" ref="D34:AL34" si="29">C34</f>
        <v>0</v>
      </c>
      <c r="E34" s="36">
        <f t="shared" si="29"/>
        <v>0</v>
      </c>
      <c r="F34" s="36">
        <f t="shared" si="29"/>
        <v>0</v>
      </c>
      <c r="G34" s="36">
        <f t="shared" si="29"/>
        <v>0</v>
      </c>
      <c r="H34" s="36">
        <f t="shared" si="29"/>
        <v>0</v>
      </c>
      <c r="I34" s="36">
        <f t="shared" si="29"/>
        <v>0</v>
      </c>
      <c r="J34" s="36">
        <f t="shared" si="29"/>
        <v>0</v>
      </c>
      <c r="K34" s="36">
        <f t="shared" si="29"/>
        <v>0</v>
      </c>
      <c r="L34" s="36">
        <f t="shared" si="29"/>
        <v>0</v>
      </c>
      <c r="M34" s="36">
        <f t="shared" si="29"/>
        <v>0</v>
      </c>
      <c r="N34" s="36">
        <f t="shared" si="29"/>
        <v>0</v>
      </c>
      <c r="O34" s="56">
        <f t="shared" si="29"/>
        <v>0</v>
      </c>
      <c r="P34" s="36">
        <f t="shared" si="29"/>
        <v>0</v>
      </c>
      <c r="Q34" s="36">
        <f t="shared" si="29"/>
        <v>0</v>
      </c>
      <c r="R34" s="36">
        <f t="shared" si="29"/>
        <v>0</v>
      </c>
      <c r="S34" s="36">
        <f t="shared" si="29"/>
        <v>0</v>
      </c>
      <c r="T34" s="36">
        <f t="shared" si="29"/>
        <v>0</v>
      </c>
      <c r="U34" s="36">
        <f t="shared" si="29"/>
        <v>0</v>
      </c>
      <c r="V34" s="36">
        <f t="shared" si="29"/>
        <v>0</v>
      </c>
      <c r="W34" s="36">
        <f t="shared" si="29"/>
        <v>0</v>
      </c>
      <c r="X34" s="36">
        <f t="shared" si="29"/>
        <v>0</v>
      </c>
      <c r="Y34" s="36">
        <f t="shared" si="29"/>
        <v>0</v>
      </c>
      <c r="Z34" s="36">
        <f t="shared" si="29"/>
        <v>0</v>
      </c>
      <c r="AA34" s="56">
        <f t="shared" si="29"/>
        <v>0</v>
      </c>
      <c r="AB34" s="36">
        <f t="shared" si="29"/>
        <v>0</v>
      </c>
      <c r="AC34" s="36">
        <f t="shared" si="29"/>
        <v>0</v>
      </c>
      <c r="AD34" s="36">
        <f t="shared" si="29"/>
        <v>0</v>
      </c>
      <c r="AE34" s="36">
        <f t="shared" si="29"/>
        <v>0</v>
      </c>
      <c r="AF34" s="36">
        <f t="shared" si="29"/>
        <v>0</v>
      </c>
      <c r="AG34" s="36">
        <f t="shared" si="29"/>
        <v>0</v>
      </c>
      <c r="AH34" s="36">
        <f t="shared" si="29"/>
        <v>0</v>
      </c>
      <c r="AI34" s="36">
        <f t="shared" si="29"/>
        <v>0</v>
      </c>
      <c r="AJ34" s="36">
        <f t="shared" si="29"/>
        <v>0</v>
      </c>
      <c r="AK34" s="36">
        <f t="shared" si="29"/>
        <v>0</v>
      </c>
      <c r="AL34" s="36">
        <f t="shared" si="29"/>
        <v>0</v>
      </c>
    </row>
    <row r="35">
      <c r="A35" s="40"/>
      <c r="B35" s="55" t="s">
        <v>42</v>
      </c>
      <c r="C35" s="36">
        <v>0.0</v>
      </c>
      <c r="D35" s="36">
        <f t="shared" ref="D35:AL35" si="30">C35</f>
        <v>0</v>
      </c>
      <c r="E35" s="36">
        <f t="shared" si="30"/>
        <v>0</v>
      </c>
      <c r="F35" s="36">
        <f t="shared" si="30"/>
        <v>0</v>
      </c>
      <c r="G35" s="36">
        <f t="shared" si="30"/>
        <v>0</v>
      </c>
      <c r="H35" s="36">
        <f t="shared" si="30"/>
        <v>0</v>
      </c>
      <c r="I35" s="36">
        <f t="shared" si="30"/>
        <v>0</v>
      </c>
      <c r="J35" s="36">
        <f t="shared" si="30"/>
        <v>0</v>
      </c>
      <c r="K35" s="36">
        <f t="shared" si="30"/>
        <v>0</v>
      </c>
      <c r="L35" s="36">
        <f t="shared" si="30"/>
        <v>0</v>
      </c>
      <c r="M35" s="36">
        <f t="shared" si="30"/>
        <v>0</v>
      </c>
      <c r="N35" s="36">
        <f t="shared" si="30"/>
        <v>0</v>
      </c>
      <c r="O35" s="56">
        <f t="shared" si="30"/>
        <v>0</v>
      </c>
      <c r="P35" s="36">
        <f t="shared" si="30"/>
        <v>0</v>
      </c>
      <c r="Q35" s="36">
        <f t="shared" si="30"/>
        <v>0</v>
      </c>
      <c r="R35" s="36">
        <f t="shared" si="30"/>
        <v>0</v>
      </c>
      <c r="S35" s="36">
        <f t="shared" si="30"/>
        <v>0</v>
      </c>
      <c r="T35" s="36">
        <f t="shared" si="30"/>
        <v>0</v>
      </c>
      <c r="U35" s="36">
        <f t="shared" si="30"/>
        <v>0</v>
      </c>
      <c r="V35" s="36">
        <f t="shared" si="30"/>
        <v>0</v>
      </c>
      <c r="W35" s="36">
        <f t="shared" si="30"/>
        <v>0</v>
      </c>
      <c r="X35" s="36">
        <f t="shared" si="30"/>
        <v>0</v>
      </c>
      <c r="Y35" s="36">
        <f t="shared" si="30"/>
        <v>0</v>
      </c>
      <c r="Z35" s="36">
        <f t="shared" si="30"/>
        <v>0</v>
      </c>
      <c r="AA35" s="56">
        <f t="shared" si="30"/>
        <v>0</v>
      </c>
      <c r="AB35" s="36">
        <f t="shared" si="30"/>
        <v>0</v>
      </c>
      <c r="AC35" s="36">
        <f t="shared" si="30"/>
        <v>0</v>
      </c>
      <c r="AD35" s="36">
        <f t="shared" si="30"/>
        <v>0</v>
      </c>
      <c r="AE35" s="36">
        <f t="shared" si="30"/>
        <v>0</v>
      </c>
      <c r="AF35" s="36">
        <f t="shared" si="30"/>
        <v>0</v>
      </c>
      <c r="AG35" s="36">
        <f t="shared" si="30"/>
        <v>0</v>
      </c>
      <c r="AH35" s="36">
        <f t="shared" si="30"/>
        <v>0</v>
      </c>
      <c r="AI35" s="36">
        <f t="shared" si="30"/>
        <v>0</v>
      </c>
      <c r="AJ35" s="36">
        <f t="shared" si="30"/>
        <v>0</v>
      </c>
      <c r="AK35" s="36">
        <f t="shared" si="30"/>
        <v>0</v>
      </c>
      <c r="AL35" s="36">
        <f t="shared" si="30"/>
        <v>0</v>
      </c>
    </row>
    <row r="36">
      <c r="A36" s="40"/>
      <c r="B36" s="55" t="s">
        <v>43</v>
      </c>
      <c r="C36" s="36">
        <v>0.0</v>
      </c>
      <c r="D36" s="36">
        <f t="shared" ref="D36:AL36" si="31">C36</f>
        <v>0</v>
      </c>
      <c r="E36" s="36">
        <f t="shared" si="31"/>
        <v>0</v>
      </c>
      <c r="F36" s="36">
        <f t="shared" si="31"/>
        <v>0</v>
      </c>
      <c r="G36" s="36">
        <f t="shared" si="31"/>
        <v>0</v>
      </c>
      <c r="H36" s="36">
        <f t="shared" si="31"/>
        <v>0</v>
      </c>
      <c r="I36" s="36">
        <f t="shared" si="31"/>
        <v>0</v>
      </c>
      <c r="J36" s="36">
        <f t="shared" si="31"/>
        <v>0</v>
      </c>
      <c r="K36" s="36">
        <f t="shared" si="31"/>
        <v>0</v>
      </c>
      <c r="L36" s="36">
        <f t="shared" si="31"/>
        <v>0</v>
      </c>
      <c r="M36" s="36">
        <f t="shared" si="31"/>
        <v>0</v>
      </c>
      <c r="N36" s="36">
        <f t="shared" si="31"/>
        <v>0</v>
      </c>
      <c r="O36" s="56">
        <f t="shared" si="31"/>
        <v>0</v>
      </c>
      <c r="P36" s="36">
        <f t="shared" si="31"/>
        <v>0</v>
      </c>
      <c r="Q36" s="36">
        <f t="shared" si="31"/>
        <v>0</v>
      </c>
      <c r="R36" s="36">
        <f t="shared" si="31"/>
        <v>0</v>
      </c>
      <c r="S36" s="36">
        <f t="shared" si="31"/>
        <v>0</v>
      </c>
      <c r="T36" s="36">
        <f t="shared" si="31"/>
        <v>0</v>
      </c>
      <c r="U36" s="36">
        <f t="shared" si="31"/>
        <v>0</v>
      </c>
      <c r="V36" s="36">
        <f t="shared" si="31"/>
        <v>0</v>
      </c>
      <c r="W36" s="36">
        <f t="shared" si="31"/>
        <v>0</v>
      </c>
      <c r="X36" s="36">
        <f t="shared" si="31"/>
        <v>0</v>
      </c>
      <c r="Y36" s="36">
        <f t="shared" si="31"/>
        <v>0</v>
      </c>
      <c r="Z36" s="36">
        <f t="shared" si="31"/>
        <v>0</v>
      </c>
      <c r="AA36" s="56">
        <f t="shared" si="31"/>
        <v>0</v>
      </c>
      <c r="AB36" s="36">
        <f t="shared" si="31"/>
        <v>0</v>
      </c>
      <c r="AC36" s="36">
        <f t="shared" si="31"/>
        <v>0</v>
      </c>
      <c r="AD36" s="36">
        <f t="shared" si="31"/>
        <v>0</v>
      </c>
      <c r="AE36" s="36">
        <f t="shared" si="31"/>
        <v>0</v>
      </c>
      <c r="AF36" s="36">
        <f t="shared" si="31"/>
        <v>0</v>
      </c>
      <c r="AG36" s="36">
        <f t="shared" si="31"/>
        <v>0</v>
      </c>
      <c r="AH36" s="36">
        <f t="shared" si="31"/>
        <v>0</v>
      </c>
      <c r="AI36" s="36">
        <f t="shared" si="31"/>
        <v>0</v>
      </c>
      <c r="AJ36" s="36">
        <f t="shared" si="31"/>
        <v>0</v>
      </c>
      <c r="AK36" s="36">
        <f t="shared" si="31"/>
        <v>0</v>
      </c>
      <c r="AL36" s="36">
        <f t="shared" si="31"/>
        <v>0</v>
      </c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62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62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</row>
    <row r="38">
      <c r="A38" s="71"/>
      <c r="B38" s="72" t="s">
        <v>50</v>
      </c>
      <c r="C38" s="71">
        <f t="shared" ref="C38:AL38" si="32">C3-C32</f>
        <v>0</v>
      </c>
      <c r="D38" s="71">
        <f t="shared" si="32"/>
        <v>0</v>
      </c>
      <c r="E38" s="71">
        <f t="shared" si="32"/>
        <v>0</v>
      </c>
      <c r="F38" s="71">
        <f t="shared" si="32"/>
        <v>0</v>
      </c>
      <c r="G38" s="71">
        <f t="shared" si="32"/>
        <v>0</v>
      </c>
      <c r="H38" s="71">
        <f t="shared" si="32"/>
        <v>0</v>
      </c>
      <c r="I38" s="71">
        <f t="shared" si="32"/>
        <v>0</v>
      </c>
      <c r="J38" s="71">
        <f t="shared" si="32"/>
        <v>0</v>
      </c>
      <c r="K38" s="71">
        <f t="shared" si="32"/>
        <v>0</v>
      </c>
      <c r="L38" s="71">
        <f t="shared" si="32"/>
        <v>0</v>
      </c>
      <c r="M38" s="71">
        <f t="shared" si="32"/>
        <v>0</v>
      </c>
      <c r="N38" s="71">
        <f t="shared" si="32"/>
        <v>0</v>
      </c>
      <c r="O38" s="73">
        <f t="shared" si="32"/>
        <v>0</v>
      </c>
      <c r="P38" s="71">
        <f t="shared" si="32"/>
        <v>0</v>
      </c>
      <c r="Q38" s="71">
        <f t="shared" si="32"/>
        <v>0</v>
      </c>
      <c r="R38" s="71">
        <f t="shared" si="32"/>
        <v>0</v>
      </c>
      <c r="S38" s="71">
        <f t="shared" si="32"/>
        <v>0</v>
      </c>
      <c r="T38" s="71">
        <f t="shared" si="32"/>
        <v>0</v>
      </c>
      <c r="U38" s="71">
        <f t="shared" si="32"/>
        <v>0</v>
      </c>
      <c r="V38" s="71">
        <f t="shared" si="32"/>
        <v>0</v>
      </c>
      <c r="W38" s="71">
        <f t="shared" si="32"/>
        <v>0</v>
      </c>
      <c r="X38" s="71">
        <f t="shared" si="32"/>
        <v>0</v>
      </c>
      <c r="Y38" s="71">
        <f t="shared" si="32"/>
        <v>0</v>
      </c>
      <c r="Z38" s="71">
        <f t="shared" si="32"/>
        <v>0</v>
      </c>
      <c r="AA38" s="73">
        <f t="shared" si="32"/>
        <v>0</v>
      </c>
      <c r="AB38" s="71">
        <f t="shared" si="32"/>
        <v>0</v>
      </c>
      <c r="AC38" s="71">
        <f t="shared" si="32"/>
        <v>0</v>
      </c>
      <c r="AD38" s="71">
        <f t="shared" si="32"/>
        <v>0</v>
      </c>
      <c r="AE38" s="71">
        <f t="shared" si="32"/>
        <v>0</v>
      </c>
      <c r="AF38" s="71">
        <f t="shared" si="32"/>
        <v>0</v>
      </c>
      <c r="AG38" s="71">
        <f t="shared" si="32"/>
        <v>0</v>
      </c>
      <c r="AH38" s="71">
        <f t="shared" si="32"/>
        <v>0</v>
      </c>
      <c r="AI38" s="71">
        <f t="shared" si="32"/>
        <v>0</v>
      </c>
      <c r="AJ38" s="71">
        <f t="shared" si="32"/>
        <v>0</v>
      </c>
      <c r="AK38" s="71">
        <f t="shared" si="32"/>
        <v>0</v>
      </c>
      <c r="AL38" s="71">
        <f t="shared" si="32"/>
        <v>0</v>
      </c>
    </row>
    <row r="39">
      <c r="A39" s="40"/>
      <c r="B39" s="55" t="s">
        <v>51</v>
      </c>
      <c r="C39" s="74" t="str">
        <f t="shared" ref="C39:AL39" si="33">C38/C3</f>
        <v>#DIV/0!</v>
      </c>
      <c r="D39" s="74" t="str">
        <f t="shared" si="33"/>
        <v>#DIV/0!</v>
      </c>
      <c r="E39" s="74" t="str">
        <f t="shared" si="33"/>
        <v>#DIV/0!</v>
      </c>
      <c r="F39" s="74" t="str">
        <f t="shared" si="33"/>
        <v>#DIV/0!</v>
      </c>
      <c r="G39" s="74" t="str">
        <f t="shared" si="33"/>
        <v>#DIV/0!</v>
      </c>
      <c r="H39" s="74" t="str">
        <f t="shared" si="33"/>
        <v>#DIV/0!</v>
      </c>
      <c r="I39" s="74" t="str">
        <f t="shared" si="33"/>
        <v>#DIV/0!</v>
      </c>
      <c r="J39" s="74" t="str">
        <f t="shared" si="33"/>
        <v>#DIV/0!</v>
      </c>
      <c r="K39" s="74" t="str">
        <f t="shared" si="33"/>
        <v>#DIV/0!</v>
      </c>
      <c r="L39" s="74" t="str">
        <f t="shared" si="33"/>
        <v>#DIV/0!</v>
      </c>
      <c r="M39" s="74" t="str">
        <f t="shared" si="33"/>
        <v>#DIV/0!</v>
      </c>
      <c r="N39" s="74" t="str">
        <f t="shared" si="33"/>
        <v>#DIV/0!</v>
      </c>
      <c r="O39" s="75" t="str">
        <f t="shared" si="33"/>
        <v>#DIV/0!</v>
      </c>
      <c r="P39" s="74" t="str">
        <f t="shared" si="33"/>
        <v>#DIV/0!</v>
      </c>
      <c r="Q39" s="74" t="str">
        <f t="shared" si="33"/>
        <v>#DIV/0!</v>
      </c>
      <c r="R39" s="74" t="str">
        <f t="shared" si="33"/>
        <v>#DIV/0!</v>
      </c>
      <c r="S39" s="74" t="str">
        <f t="shared" si="33"/>
        <v>#DIV/0!</v>
      </c>
      <c r="T39" s="74" t="str">
        <f t="shared" si="33"/>
        <v>#DIV/0!</v>
      </c>
      <c r="U39" s="74" t="str">
        <f t="shared" si="33"/>
        <v>#DIV/0!</v>
      </c>
      <c r="V39" s="74" t="str">
        <f t="shared" si="33"/>
        <v>#DIV/0!</v>
      </c>
      <c r="W39" s="74" t="str">
        <f t="shared" si="33"/>
        <v>#DIV/0!</v>
      </c>
      <c r="X39" s="74" t="str">
        <f t="shared" si="33"/>
        <v>#DIV/0!</v>
      </c>
      <c r="Y39" s="74" t="str">
        <f t="shared" si="33"/>
        <v>#DIV/0!</v>
      </c>
      <c r="Z39" s="74" t="str">
        <f t="shared" si="33"/>
        <v>#DIV/0!</v>
      </c>
      <c r="AA39" s="75" t="str">
        <f t="shared" si="33"/>
        <v>#DIV/0!</v>
      </c>
      <c r="AB39" s="74" t="str">
        <f t="shared" si="33"/>
        <v>#DIV/0!</v>
      </c>
      <c r="AC39" s="74" t="str">
        <f t="shared" si="33"/>
        <v>#DIV/0!</v>
      </c>
      <c r="AD39" s="74" t="str">
        <f t="shared" si="33"/>
        <v>#DIV/0!</v>
      </c>
      <c r="AE39" s="74" t="str">
        <f t="shared" si="33"/>
        <v>#DIV/0!</v>
      </c>
      <c r="AF39" s="74" t="str">
        <f t="shared" si="33"/>
        <v>#DIV/0!</v>
      </c>
      <c r="AG39" s="74" t="str">
        <f t="shared" si="33"/>
        <v>#DIV/0!</v>
      </c>
      <c r="AH39" s="74" t="str">
        <f t="shared" si="33"/>
        <v>#DIV/0!</v>
      </c>
      <c r="AI39" s="74" t="str">
        <f t="shared" si="33"/>
        <v>#DIV/0!</v>
      </c>
      <c r="AJ39" s="74" t="str">
        <f t="shared" si="33"/>
        <v>#DIV/0!</v>
      </c>
      <c r="AK39" s="74" t="str">
        <f t="shared" si="33"/>
        <v>#DIV/0!</v>
      </c>
      <c r="AL39" s="74" t="str">
        <f t="shared" si="33"/>
        <v>#DIV/0!</v>
      </c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62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62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</row>
    <row r="41">
      <c r="A41" s="40"/>
      <c r="B41" s="76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62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62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62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62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62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62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62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</sheetData>
  <drawing r:id="rId2"/>
  <legacyDrawing r:id="rId3"/>
</worksheet>
</file>